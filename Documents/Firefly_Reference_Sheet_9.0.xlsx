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https://d.docs.live.net/7806d3a2f6a37875/Desktop/"/>
    </mc:Choice>
  </mc:AlternateContent>
  <xr:revisionPtr revIDLastSave="3011" documentId="13_ncr:1_{FEB11CC8-0D3C-4B92-93C7-7C2C6D019323}" xr6:coauthVersionLast="47" xr6:coauthVersionMax="47" xr10:uidLastSave="{5754963E-AB8A-4228-8A09-643B164CDBFB}"/>
  <bookViews>
    <workbookView xWindow="-110" yWindow="-110" windowWidth="25820" windowHeight="13900" tabRatio="861" xr2:uid="{00000000-000D-0000-FFFF-FFFF00000000}"/>
  </bookViews>
  <sheets>
    <sheet name="Supplies" sheetId="1" r:id="rId1"/>
    <sheet name="Supplies (2)" sheetId="31" state="hidden" r:id="rId2"/>
    <sheet name="Jobs" sheetId="2" r:id="rId3"/>
    <sheet name="Ships" sheetId="28" state="hidden" r:id="rId4"/>
    <sheet name="Misbehaves" sheetId="3" r:id="rId5"/>
    <sheet name="Nav Cards" sheetId="5" r:id="rId6"/>
    <sheet name="Alerts" sheetId="26" r:id="rId7"/>
    <sheet name="Local Color" sheetId="22" state="hidden" r:id="rId8"/>
    <sheet name="Local Color 2.0" sheetId="23" state="hidden" r:id="rId9"/>
    <sheet name="Complications" sheetId="17" state="hidden" r:id="rId10"/>
    <sheet name="Travelers" sheetId="19" state="hidden" r:id="rId11"/>
    <sheet name="Backgrounds" sheetId="21" state="hidden" r:id="rId12"/>
  </sheets>
  <definedNames>
    <definedName name="_xlnm._FilterDatabase" localSheetId="9" hidden="1">Complications!$A$1:$G$8</definedName>
    <definedName name="_xlnm._FilterDatabase" localSheetId="2" hidden="1">Jobs!$A$1:$R$396</definedName>
    <definedName name="_xlnm._FilterDatabase" localSheetId="7" hidden="1">'Local Color'!$A$1:$H$41</definedName>
    <definedName name="_xlnm._FilterDatabase" localSheetId="8" hidden="1">'Local Color 2.0'!$A$1:$H$41</definedName>
    <definedName name="_xlnm._FilterDatabase" localSheetId="4" hidden="1">Misbehaves!$A$1:$H$93</definedName>
    <definedName name="_xlnm._FilterDatabase" localSheetId="5" hidden="1">'Nav Cards'!$A$1:$L$86</definedName>
    <definedName name="_xlnm._FilterDatabase" localSheetId="0" hidden="1">Supplies!$A$1:$AN$252</definedName>
    <definedName name="_xlnm._FilterDatabase" localSheetId="1" hidden="1">'Supplies (2)'!$A$1:$BI$414</definedName>
    <definedName name="_xlnm._FilterDatabase" localSheetId="10" hidden="1">Travelers!$A$1:$L$38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6" i="5" l="1"/>
  <c r="AB252"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51" i="1"/>
  <c r="AR420" i="31"/>
  <c r="AQ420" i="31"/>
  <c r="AP420" i="31"/>
  <c r="AO420" i="31"/>
  <c r="AN420" i="31"/>
  <c r="AM420" i="31"/>
  <c r="AL420" i="31"/>
  <c r="AK420" i="31"/>
  <c r="AJ420" i="31"/>
  <c r="AI420" i="31"/>
  <c r="AH420" i="31"/>
  <c r="AG420" i="31"/>
  <c r="AS420" i="31" s="1"/>
  <c r="AR418" i="31"/>
  <c r="AQ418" i="31"/>
  <c r="AP418" i="31"/>
  <c r="AO418" i="31"/>
  <c r="AN418" i="31"/>
  <c r="AM418" i="31"/>
  <c r="AL418" i="31"/>
  <c r="AK418" i="31"/>
  <c r="AJ418" i="31"/>
  <c r="AI418" i="31"/>
  <c r="AH418" i="31"/>
  <c r="AG418" i="31"/>
  <c r="AF418" i="31"/>
  <c r="AE418" i="31"/>
  <c r="AD418" i="31"/>
  <c r="AC418" i="31"/>
  <c r="AB418" i="31"/>
  <c r="AA418" i="31"/>
  <c r="Z418" i="31"/>
  <c r="Y418" i="31"/>
  <c r="X418" i="31"/>
  <c r="W418" i="31"/>
  <c r="V418" i="31"/>
  <c r="U418" i="31"/>
  <c r="T418" i="31"/>
  <c r="S418" i="31"/>
  <c r="R418" i="31"/>
  <c r="Q418" i="31"/>
  <c r="P418" i="31"/>
  <c r="O418" i="31"/>
  <c r="N418" i="31"/>
  <c r="M418" i="31"/>
  <c r="L418" i="31"/>
  <c r="K418" i="31"/>
  <c r="J418" i="31"/>
  <c r="I418" i="31"/>
  <c r="H418" i="31"/>
  <c r="G418" i="31"/>
  <c r="AS375" i="31"/>
  <c r="AS374" i="31"/>
  <c r="AS373" i="31"/>
  <c r="AS372" i="31"/>
  <c r="AS371" i="31"/>
  <c r="AS370" i="31"/>
  <c r="AS369" i="31"/>
  <c r="AS368" i="31"/>
  <c r="AS367" i="31"/>
  <c r="AS366" i="31"/>
  <c r="AS365" i="31"/>
  <c r="AS364" i="31"/>
  <c r="AS363" i="31"/>
  <c r="AS362" i="31"/>
  <c r="BB361" i="31"/>
  <c r="BA361" i="31"/>
  <c r="AX361" i="31" s="1"/>
  <c r="AW361" i="31" s="1"/>
  <c r="AZ361" i="31"/>
  <c r="AY361" i="31"/>
  <c r="AS361" i="31"/>
  <c r="BB360" i="31"/>
  <c r="BA360" i="31"/>
  <c r="AZ360" i="31"/>
  <c r="AY360" i="31"/>
  <c r="AX360" i="31" s="1"/>
  <c r="AW360" i="31" s="1"/>
  <c r="AS360" i="31"/>
  <c r="BB359" i="31"/>
  <c r="BA359" i="31"/>
  <c r="AZ359" i="31"/>
  <c r="AY359" i="31"/>
  <c r="AX359" i="31" s="1"/>
  <c r="AW359" i="31" s="1"/>
  <c r="AS359" i="31"/>
  <c r="BB358" i="31"/>
  <c r="BA358" i="31"/>
  <c r="AZ358" i="31"/>
  <c r="AY358" i="31"/>
  <c r="AX358" i="31"/>
  <c r="AW358" i="31" s="1"/>
  <c r="AS358" i="31"/>
  <c r="BB357" i="31"/>
  <c r="BA357" i="31"/>
  <c r="AX357" i="31" s="1"/>
  <c r="AW357" i="31" s="1"/>
  <c r="AZ357" i="31"/>
  <c r="AY357" i="31"/>
  <c r="AS357" i="31"/>
  <c r="BB356" i="31"/>
  <c r="BA356" i="31"/>
  <c r="AX356" i="31" s="1"/>
  <c r="AW356" i="31" s="1"/>
  <c r="AZ356" i="31"/>
  <c r="AY356" i="31"/>
  <c r="AS356" i="31"/>
  <c r="BB355" i="31"/>
  <c r="BA355" i="31"/>
  <c r="AZ355" i="31"/>
  <c r="AY355" i="31"/>
  <c r="AX355" i="31" s="1"/>
  <c r="AW355" i="31" s="1"/>
  <c r="AS355" i="31"/>
  <c r="BB354" i="31"/>
  <c r="BA354" i="31"/>
  <c r="AZ354" i="31"/>
  <c r="AY354" i="31"/>
  <c r="AX354" i="31" s="1"/>
  <c r="AW354" i="31" s="1"/>
  <c r="AS354" i="31"/>
  <c r="BB353" i="31"/>
  <c r="BA353" i="31"/>
  <c r="AZ353" i="31"/>
  <c r="AY353" i="31"/>
  <c r="AX353" i="31"/>
  <c r="AW353" i="31"/>
  <c r="AS353" i="31"/>
  <c r="BB352" i="31"/>
  <c r="BA352" i="31"/>
  <c r="AZ352" i="31"/>
  <c r="AY352" i="31"/>
  <c r="AX352" i="31" s="1"/>
  <c r="AW352" i="31" s="1"/>
  <c r="AS352" i="31"/>
  <c r="BB351" i="31"/>
  <c r="BA351" i="31"/>
  <c r="AZ351" i="31"/>
  <c r="AY351" i="31"/>
  <c r="AX351" i="31" s="1"/>
  <c r="AW351" i="31" s="1"/>
  <c r="AS351" i="31"/>
  <c r="BB350" i="31"/>
  <c r="AX350" i="31" s="1"/>
  <c r="AW350" i="31" s="1"/>
  <c r="BA350" i="31"/>
  <c r="AZ350" i="31"/>
  <c r="AY350" i="31"/>
  <c r="AS350" i="31"/>
  <c r="BB349" i="31"/>
  <c r="BA349" i="31"/>
  <c r="AZ349" i="31"/>
  <c r="AY349" i="31"/>
  <c r="AX349" i="31" s="1"/>
  <c r="AW349" i="31" s="1"/>
  <c r="AS349" i="31"/>
  <c r="BB348" i="31"/>
  <c r="BA348" i="31"/>
  <c r="AZ348" i="31"/>
  <c r="AY348" i="31"/>
  <c r="AX348" i="31" s="1"/>
  <c r="AW348" i="31" s="1"/>
  <c r="AS348" i="31"/>
  <c r="AS347" i="31"/>
  <c r="AS346" i="31"/>
  <c r="AS345" i="31"/>
  <c r="AS344" i="31"/>
  <c r="AS343" i="31"/>
  <c r="AS342" i="31"/>
  <c r="AS341" i="31"/>
  <c r="AS340" i="31"/>
  <c r="AS339" i="31"/>
  <c r="AS338" i="31"/>
  <c r="AS337" i="31"/>
  <c r="AS336" i="31"/>
  <c r="AS335" i="31"/>
  <c r="AS334" i="31"/>
  <c r="AS333" i="31"/>
  <c r="AS332" i="31"/>
  <c r="AS331" i="31"/>
  <c r="AS330" i="31"/>
  <c r="AS329" i="31"/>
  <c r="AS328" i="31"/>
  <c r="AS327" i="31"/>
  <c r="AS326" i="31"/>
  <c r="AS325" i="31"/>
  <c r="AS324" i="31"/>
  <c r="AS323" i="31"/>
  <c r="AS322" i="31"/>
  <c r="AS321" i="31"/>
  <c r="AS320" i="31"/>
  <c r="AS319" i="31"/>
  <c r="AS318" i="31"/>
  <c r="AS317" i="31"/>
  <c r="AS316" i="31"/>
  <c r="AS315" i="31"/>
  <c r="AS314" i="31"/>
  <c r="AS313" i="31"/>
  <c r="AS312" i="31"/>
  <c r="BB311" i="31"/>
  <c r="BA311" i="31"/>
  <c r="AZ311" i="31"/>
  <c r="AY311" i="31"/>
  <c r="AX311" i="31" s="1"/>
  <c r="AW311" i="31" s="1"/>
  <c r="AS311" i="31"/>
  <c r="BB310" i="31"/>
  <c r="AX310" i="31" s="1"/>
  <c r="AW310" i="31" s="1"/>
  <c r="BA310" i="31"/>
  <c r="AZ310" i="31"/>
  <c r="AY310" i="31"/>
  <c r="AS310" i="31"/>
  <c r="BB309" i="31"/>
  <c r="BA309" i="31"/>
  <c r="AZ309" i="31"/>
  <c r="AY309" i="31"/>
  <c r="AX309" i="31" s="1"/>
  <c r="AW309" i="31" s="1"/>
  <c r="AS309" i="31"/>
  <c r="BB308" i="31"/>
  <c r="BA308" i="31"/>
  <c r="AZ308" i="31"/>
  <c r="AX308" i="31" s="1"/>
  <c r="AW308" i="31" s="1"/>
  <c r="AY308" i="31"/>
  <c r="AS308" i="31"/>
  <c r="BB307" i="31"/>
  <c r="BA307" i="31"/>
  <c r="AZ307" i="31"/>
  <c r="AX307" i="31" s="1"/>
  <c r="AW307" i="31" s="1"/>
  <c r="AY307" i="31"/>
  <c r="AS307" i="31"/>
  <c r="BB306" i="31"/>
  <c r="BA306" i="31"/>
  <c r="AZ306" i="31"/>
  <c r="AY306" i="31"/>
  <c r="AX306" i="31"/>
  <c r="AW306" i="31" s="1"/>
  <c r="AS306" i="31"/>
  <c r="BB305" i="31"/>
  <c r="BA305" i="31"/>
  <c r="AX305" i="31" s="1"/>
  <c r="AW305" i="31" s="1"/>
  <c r="AZ305" i="31"/>
  <c r="AY305" i="31"/>
  <c r="AS305" i="31"/>
  <c r="BB304" i="31"/>
  <c r="BA304" i="31"/>
  <c r="AZ304" i="31"/>
  <c r="AY304" i="31"/>
  <c r="AX304" i="31" s="1"/>
  <c r="AW304" i="31" s="1"/>
  <c r="AS304" i="31"/>
  <c r="BB303" i="31"/>
  <c r="BA303" i="31"/>
  <c r="AZ303" i="31"/>
  <c r="AY303" i="31"/>
  <c r="AX303" i="31" s="1"/>
  <c r="AW303" i="31" s="1"/>
  <c r="AS303" i="31"/>
  <c r="BB302" i="31"/>
  <c r="BA302" i="31"/>
  <c r="AZ302" i="31"/>
  <c r="AY302" i="31"/>
  <c r="AX302" i="31"/>
  <c r="AW302" i="31" s="1"/>
  <c r="AS302" i="31"/>
  <c r="BB301" i="31"/>
  <c r="BA301" i="31"/>
  <c r="AX301" i="31" s="1"/>
  <c r="AW301" i="31" s="1"/>
  <c r="AZ301" i="31"/>
  <c r="AY301" i="31"/>
  <c r="AS301" i="31"/>
  <c r="BB300" i="31"/>
  <c r="BA300" i="31"/>
  <c r="AX300" i="31" s="1"/>
  <c r="AW300" i="31" s="1"/>
  <c r="AZ300" i="31"/>
  <c r="AY300" i="31"/>
  <c r="AS300" i="31"/>
  <c r="BB299" i="31"/>
  <c r="BA299" i="31"/>
  <c r="AZ299" i="31"/>
  <c r="AY299" i="31"/>
  <c r="AX299" i="31" s="1"/>
  <c r="AW299" i="31" s="1"/>
  <c r="AS299" i="31"/>
  <c r="BB298" i="31"/>
  <c r="BA298" i="31"/>
  <c r="AZ298" i="31"/>
  <c r="AY298" i="31"/>
  <c r="AX298" i="31" s="1"/>
  <c r="AW298" i="31" s="1"/>
  <c r="AS298" i="31"/>
  <c r="BB297" i="31"/>
  <c r="BA297" i="31"/>
  <c r="AZ297" i="31"/>
  <c r="AY297" i="31"/>
  <c r="AX297" i="31"/>
  <c r="AW297" i="31"/>
  <c r="AS297" i="31"/>
  <c r="BB296" i="31"/>
  <c r="BA296" i="31"/>
  <c r="AZ296" i="31"/>
  <c r="AY296" i="31"/>
  <c r="AX296" i="31" s="1"/>
  <c r="AW296" i="31" s="1"/>
  <c r="AS296" i="31"/>
  <c r="BB295" i="31"/>
  <c r="BA295" i="31"/>
  <c r="AZ295" i="31"/>
  <c r="AY295" i="31"/>
  <c r="AX295" i="31" s="1"/>
  <c r="AW295" i="31" s="1"/>
  <c r="AS295" i="31"/>
  <c r="BB294" i="31"/>
  <c r="AX294" i="31" s="1"/>
  <c r="AW294" i="31" s="1"/>
  <c r="BA294" i="31"/>
  <c r="AZ294" i="31"/>
  <c r="AY294" i="31"/>
  <c r="AS294" i="31"/>
  <c r="BB293" i="31"/>
  <c r="BA293" i="31"/>
  <c r="AZ293" i="31"/>
  <c r="AY293" i="31"/>
  <c r="AX293" i="31"/>
  <c r="AW293" i="31"/>
  <c r="AS293" i="31"/>
  <c r="BB292" i="31"/>
  <c r="BA292" i="31"/>
  <c r="AZ292" i="31"/>
  <c r="AX292" i="31" s="1"/>
  <c r="AW292" i="31" s="1"/>
  <c r="AY292" i="31"/>
  <c r="AS292" i="31"/>
  <c r="BB291" i="31"/>
  <c r="BA291" i="31"/>
  <c r="AZ291" i="31"/>
  <c r="AX291" i="31" s="1"/>
  <c r="AW291" i="31" s="1"/>
  <c r="AY291" i="31"/>
  <c r="AS291" i="31"/>
  <c r="BB290" i="31"/>
  <c r="BA290" i="31"/>
  <c r="AZ290" i="31"/>
  <c r="AY290" i="31"/>
  <c r="AX290" i="31"/>
  <c r="AW290" i="31" s="1"/>
  <c r="AS290" i="31"/>
  <c r="BB289" i="31"/>
  <c r="BA289" i="31"/>
  <c r="AX289" i="31" s="1"/>
  <c r="AW289" i="31" s="1"/>
  <c r="AZ289" i="31"/>
  <c r="AY289" i="31"/>
  <c r="AS289" i="31"/>
  <c r="BB288" i="31"/>
  <c r="BA288" i="31"/>
  <c r="AZ288" i="31"/>
  <c r="AY288" i="31"/>
  <c r="AX288" i="31" s="1"/>
  <c r="AW288" i="31" s="1"/>
  <c r="AS288" i="31"/>
  <c r="BB287" i="31"/>
  <c r="BA287" i="31"/>
  <c r="AZ287" i="31"/>
  <c r="AY287" i="31"/>
  <c r="AX287" i="31" s="1"/>
  <c r="AW287" i="31" s="1"/>
  <c r="AS287" i="31"/>
  <c r="BB286" i="31"/>
  <c r="BA286" i="31"/>
  <c r="AZ286" i="31"/>
  <c r="AY286" i="31"/>
  <c r="AX286" i="31"/>
  <c r="AW286" i="31" s="1"/>
  <c r="AS286" i="31"/>
  <c r="BB285" i="31"/>
  <c r="BA285" i="31"/>
  <c r="AX285" i="31" s="1"/>
  <c r="AW285" i="31" s="1"/>
  <c r="AZ285" i="31"/>
  <c r="AY285" i="31"/>
  <c r="AS285" i="31"/>
  <c r="BB284" i="31"/>
  <c r="BA284" i="31"/>
  <c r="AZ284" i="31"/>
  <c r="AY284" i="31"/>
  <c r="AX284" i="31" s="1"/>
  <c r="AW284" i="31" s="1"/>
  <c r="AS284" i="31"/>
  <c r="BB283" i="31"/>
  <c r="BA283" i="31"/>
  <c r="AZ283" i="31"/>
  <c r="AY283" i="31"/>
  <c r="AX283" i="31" s="1"/>
  <c r="AW283" i="31" s="1"/>
  <c r="AS283" i="31"/>
  <c r="BB282" i="31"/>
  <c r="BA282" i="31"/>
  <c r="AZ282" i="31"/>
  <c r="AY282" i="31"/>
  <c r="AX282" i="31" s="1"/>
  <c r="AW282" i="31" s="1"/>
  <c r="AS282" i="31"/>
  <c r="BB281" i="31"/>
  <c r="BA281" i="31"/>
  <c r="AZ281" i="31"/>
  <c r="AY281" i="31"/>
  <c r="AX281" i="31"/>
  <c r="AW281" i="31"/>
  <c r="AS281" i="31"/>
  <c r="BB280" i="31"/>
  <c r="BA280" i="31"/>
  <c r="AZ280" i="31"/>
  <c r="AY280" i="31"/>
  <c r="AX280" i="31" s="1"/>
  <c r="AW280" i="31" s="1"/>
  <c r="AS280" i="31"/>
  <c r="BB279" i="31"/>
  <c r="BA279" i="31"/>
  <c r="AZ279" i="31"/>
  <c r="AY279" i="31"/>
  <c r="AX279" i="31" s="1"/>
  <c r="AW279" i="31" s="1"/>
  <c r="AS279" i="31"/>
  <c r="AS278" i="31"/>
  <c r="AS277" i="31"/>
  <c r="AS276" i="31"/>
  <c r="AS275" i="31"/>
  <c r="AS274" i="31"/>
  <c r="AS273" i="31"/>
  <c r="BB272" i="31"/>
  <c r="BA272" i="31"/>
  <c r="AZ272" i="31"/>
  <c r="AY272" i="31"/>
  <c r="AX272" i="31" s="1"/>
  <c r="AW272" i="31" s="1"/>
  <c r="AS272" i="31"/>
  <c r="BB271" i="31"/>
  <c r="BA271" i="31"/>
  <c r="AZ271" i="31"/>
  <c r="AY271" i="31"/>
  <c r="AX271" i="31" s="1"/>
  <c r="AW271" i="31" s="1"/>
  <c r="AS271" i="31"/>
  <c r="AS270" i="31"/>
  <c r="AS269" i="31"/>
  <c r="AS268" i="31"/>
  <c r="AS267" i="31"/>
  <c r="AS266" i="31"/>
  <c r="AS265" i="31"/>
  <c r="AS264" i="31"/>
  <c r="BB263" i="31"/>
  <c r="BA263" i="31"/>
  <c r="AZ263" i="31"/>
  <c r="AY263" i="31"/>
  <c r="AX263" i="31"/>
  <c r="AW263" i="31"/>
  <c r="AS263" i="31"/>
  <c r="BB262" i="31"/>
  <c r="BA262" i="31"/>
  <c r="AZ262" i="31"/>
  <c r="AY262" i="31"/>
  <c r="AX262" i="31" s="1"/>
  <c r="AW262" i="31" s="1"/>
  <c r="AS262" i="31"/>
  <c r="BB261" i="31"/>
  <c r="BA261" i="31"/>
  <c r="AZ261" i="31"/>
  <c r="AY261" i="31"/>
  <c r="AX261" i="31" s="1"/>
  <c r="AW261" i="31" s="1"/>
  <c r="AS261" i="31"/>
  <c r="BB260" i="31"/>
  <c r="AX260" i="31" s="1"/>
  <c r="AW260" i="31" s="1"/>
  <c r="BA260" i="31"/>
  <c r="AZ260" i="31"/>
  <c r="AY260" i="31"/>
  <c r="AS260" i="31"/>
  <c r="AS258" i="31"/>
  <c r="AS257" i="31"/>
  <c r="AS256" i="31"/>
  <c r="AS252" i="31"/>
  <c r="BB251" i="31"/>
  <c r="BA251" i="31"/>
  <c r="AZ251" i="31"/>
  <c r="AY251" i="31"/>
  <c r="AX251" i="31"/>
  <c r="AW251" i="31"/>
  <c r="AS251" i="31"/>
  <c r="BB250" i="31"/>
  <c r="BA250" i="31"/>
  <c r="AZ250" i="31"/>
  <c r="AY250" i="31"/>
  <c r="AX250" i="31" s="1"/>
  <c r="AW250" i="31" s="1"/>
  <c r="AS250" i="31"/>
  <c r="BB249" i="31"/>
  <c r="BA249" i="31"/>
  <c r="AZ249" i="31"/>
  <c r="AY249" i="31"/>
  <c r="AX249" i="31" s="1"/>
  <c r="AW249" i="31" s="1"/>
  <c r="AS249" i="31"/>
  <c r="BB248" i="31"/>
  <c r="BA248" i="31"/>
  <c r="AZ248" i="31"/>
  <c r="AY248" i="31"/>
  <c r="AX248" i="31"/>
  <c r="AW248" i="31" s="1"/>
  <c r="AS248" i="31"/>
  <c r="AS247" i="31"/>
  <c r="AS246" i="31"/>
  <c r="AS245" i="31"/>
  <c r="AS244" i="31"/>
  <c r="AS243" i="31"/>
  <c r="BB242" i="31"/>
  <c r="BA242" i="31"/>
  <c r="AZ242" i="31"/>
  <c r="AY242" i="31"/>
  <c r="AX242" i="31"/>
  <c r="AW242" i="31" s="1"/>
  <c r="AS242" i="31"/>
  <c r="BB241" i="31"/>
  <c r="BA241" i="31"/>
  <c r="AX241" i="31" s="1"/>
  <c r="AW241" i="31" s="1"/>
  <c r="AZ241" i="31"/>
  <c r="AY241" i="31"/>
  <c r="AS241" i="31"/>
  <c r="BB240" i="31"/>
  <c r="BA240" i="31"/>
  <c r="AZ240" i="31"/>
  <c r="AY240" i="31"/>
  <c r="AX240" i="31" s="1"/>
  <c r="AW240" i="31" s="1"/>
  <c r="AS240" i="31"/>
  <c r="BB239" i="31"/>
  <c r="BA239" i="31"/>
  <c r="AZ239" i="31"/>
  <c r="AY239" i="31"/>
  <c r="AX239" i="31" s="1"/>
  <c r="AW239" i="31" s="1"/>
  <c r="AS239" i="31"/>
  <c r="AS238" i="31"/>
  <c r="AS237" i="31"/>
  <c r="AS236" i="31"/>
  <c r="AS235" i="31"/>
  <c r="AS234" i="31"/>
  <c r="AS233" i="31"/>
  <c r="AS232" i="31"/>
  <c r="AS231" i="31"/>
  <c r="AS230" i="31"/>
  <c r="AS229" i="31"/>
  <c r="AS228" i="31"/>
  <c r="AS227" i="31"/>
  <c r="AS226" i="31"/>
  <c r="AS225" i="31"/>
  <c r="AS224" i="31"/>
  <c r="AS223" i="31"/>
  <c r="AS222" i="31"/>
  <c r="AS221" i="31"/>
  <c r="AS220" i="31"/>
  <c r="AS219" i="31"/>
  <c r="AS218" i="31"/>
  <c r="AS217" i="31"/>
  <c r="AS216" i="31"/>
  <c r="AS215" i="31"/>
  <c r="AS214" i="31"/>
  <c r="AS213" i="31"/>
  <c r="AS212" i="31"/>
  <c r="AS211" i="31"/>
  <c r="AS210" i="31"/>
  <c r="AS209" i="31"/>
  <c r="AS208" i="31"/>
  <c r="BB207" i="31"/>
  <c r="BA207" i="31"/>
  <c r="AZ207" i="31"/>
  <c r="AY207" i="31"/>
  <c r="AX207" i="31"/>
  <c r="AW207" i="31"/>
  <c r="AS207" i="31"/>
  <c r="BB206" i="31"/>
  <c r="BA206" i="31"/>
  <c r="AZ206" i="31"/>
  <c r="AY206" i="31"/>
  <c r="AX206" i="31" s="1"/>
  <c r="AW206" i="31" s="1"/>
  <c r="AS206" i="31"/>
  <c r="BB205" i="31"/>
  <c r="BA205" i="31"/>
  <c r="AZ205" i="31"/>
  <c r="AX205" i="31" s="1"/>
  <c r="AW205" i="31" s="1"/>
  <c r="AY205" i="31"/>
  <c r="AS205" i="31"/>
  <c r="AS204" i="31"/>
  <c r="BB203" i="31"/>
  <c r="BA203" i="31"/>
  <c r="AZ203" i="31"/>
  <c r="AY203" i="31"/>
  <c r="AX203" i="31" s="1"/>
  <c r="AW203" i="31" s="1"/>
  <c r="AS203" i="31"/>
  <c r="BB202" i="31"/>
  <c r="BA202" i="31"/>
  <c r="AZ202" i="31"/>
  <c r="AY202" i="31"/>
  <c r="AX202" i="31" s="1"/>
  <c r="AW202" i="31" s="1"/>
  <c r="AS202" i="31"/>
  <c r="BB201" i="31"/>
  <c r="BA201" i="31"/>
  <c r="AZ201" i="31"/>
  <c r="AY201" i="31"/>
  <c r="AX201" i="31"/>
  <c r="AW201" i="31"/>
  <c r="AS201" i="31"/>
  <c r="BB200" i="31"/>
  <c r="BA200" i="31"/>
  <c r="AZ200" i="31"/>
  <c r="AY200" i="31"/>
  <c r="AX200" i="31" s="1"/>
  <c r="AW200" i="31" s="1"/>
  <c r="AS200" i="31"/>
  <c r="AS199" i="31"/>
  <c r="AS198" i="31"/>
  <c r="AS197" i="31"/>
  <c r="BB196" i="31"/>
  <c r="BA196" i="31"/>
  <c r="AZ196" i="31"/>
  <c r="AY196" i="31"/>
  <c r="AX196" i="31"/>
  <c r="AW196" i="31" s="1"/>
  <c r="AS196" i="31"/>
  <c r="BB195" i="31"/>
  <c r="BA195" i="31"/>
  <c r="AX195" i="31" s="1"/>
  <c r="AW195" i="31" s="1"/>
  <c r="AZ195" i="31"/>
  <c r="AY195" i="31"/>
  <c r="AS195" i="31"/>
  <c r="BB194" i="31"/>
  <c r="BA194" i="31"/>
  <c r="AZ194" i="31"/>
  <c r="AY194" i="31"/>
  <c r="AX194" i="31" s="1"/>
  <c r="AW194" i="31" s="1"/>
  <c r="AS194" i="31"/>
  <c r="BB193" i="31"/>
  <c r="BA193" i="31"/>
  <c r="AZ193" i="31"/>
  <c r="AY193" i="31"/>
  <c r="AX193" i="31" s="1"/>
  <c r="AW193" i="31" s="1"/>
  <c r="AS193" i="31"/>
  <c r="AS192" i="31"/>
  <c r="AS191" i="31"/>
  <c r="AS190" i="31"/>
  <c r="AS189" i="31"/>
  <c r="AS188" i="31"/>
  <c r="AS187" i="31"/>
  <c r="AS186" i="31"/>
  <c r="AS185" i="31"/>
  <c r="AS184" i="31"/>
  <c r="AS183" i="31"/>
  <c r="AS182" i="31"/>
  <c r="AS181" i="31"/>
  <c r="AS180" i="31"/>
  <c r="AS179" i="31"/>
  <c r="AS178" i="31"/>
  <c r="AS177" i="31"/>
  <c r="AS176" i="31"/>
  <c r="AS175" i="31"/>
  <c r="AS174" i="31"/>
  <c r="AS173" i="31"/>
  <c r="AS172" i="31"/>
  <c r="AS171" i="31"/>
  <c r="AS170" i="31"/>
  <c r="AS169" i="31"/>
  <c r="AS168" i="31"/>
  <c r="AS167" i="31"/>
  <c r="AS166" i="31"/>
  <c r="AS165" i="31"/>
  <c r="AS164" i="31"/>
  <c r="AS163" i="31"/>
  <c r="AS162" i="31"/>
  <c r="AS161" i="31"/>
  <c r="AS160" i="31"/>
  <c r="BB159" i="31"/>
  <c r="BA159" i="31"/>
  <c r="AZ159" i="31"/>
  <c r="AY159" i="31"/>
  <c r="AX159" i="31" s="1"/>
  <c r="AW159" i="31" s="1"/>
  <c r="AS159" i="31"/>
  <c r="BB158" i="31"/>
  <c r="AX158" i="31" s="1"/>
  <c r="AW158" i="31" s="1"/>
  <c r="BA158" i="31"/>
  <c r="AZ158" i="31"/>
  <c r="AY158" i="31"/>
  <c r="AS158" i="31"/>
  <c r="BB157" i="31"/>
  <c r="BA157" i="31"/>
  <c r="AZ157" i="31"/>
  <c r="AY157" i="31"/>
  <c r="AX157" i="31"/>
  <c r="AW157" i="31"/>
  <c r="AS157" i="31"/>
  <c r="BB156" i="31"/>
  <c r="BA156" i="31"/>
  <c r="AZ156" i="31"/>
  <c r="AX156" i="31" s="1"/>
  <c r="AW156" i="31" s="1"/>
  <c r="AY156" i="31"/>
  <c r="AS156" i="31"/>
  <c r="BB155" i="31"/>
  <c r="BA155" i="31"/>
  <c r="AZ155" i="31"/>
  <c r="AY155" i="31"/>
  <c r="AX155" i="31" s="1"/>
  <c r="AW155" i="31" s="1"/>
  <c r="AS155" i="31"/>
  <c r="BB154" i="31"/>
  <c r="BA154" i="31"/>
  <c r="AZ154" i="31"/>
  <c r="AY154" i="31"/>
  <c r="AX154" i="31"/>
  <c r="AW154" i="31" s="1"/>
  <c r="AS154" i="31"/>
  <c r="BB153" i="31"/>
  <c r="BA153" i="31"/>
  <c r="AX153" i="31" s="1"/>
  <c r="AW153" i="31" s="1"/>
  <c r="AZ153" i="31"/>
  <c r="AY153" i="31"/>
  <c r="AS153" i="31"/>
  <c r="BB152" i="31"/>
  <c r="BA152" i="31"/>
  <c r="AZ152" i="31"/>
  <c r="AY152" i="31"/>
  <c r="AX152" i="31" s="1"/>
  <c r="AW152" i="31" s="1"/>
  <c r="AS152" i="31"/>
  <c r="BB151" i="31"/>
  <c r="BA151" i="31"/>
  <c r="AZ151" i="31"/>
  <c r="AY151" i="31"/>
  <c r="AX151" i="31" s="1"/>
  <c r="AW151" i="31" s="1"/>
  <c r="AS151" i="31"/>
  <c r="BB150" i="31"/>
  <c r="BA150" i="31"/>
  <c r="AZ150" i="31"/>
  <c r="AY150" i="31"/>
  <c r="AX150" i="31"/>
  <c r="AW150" i="31" s="1"/>
  <c r="AS150" i="31"/>
  <c r="AS149" i="31"/>
  <c r="AS148" i="31"/>
  <c r="AS147" i="31"/>
  <c r="AS146" i="31"/>
  <c r="AS145" i="31"/>
  <c r="AS144" i="31"/>
  <c r="AS143" i="31"/>
  <c r="AS142" i="31"/>
  <c r="AS141" i="31"/>
  <c r="AS140" i="31"/>
  <c r="AS139" i="31"/>
  <c r="AS138" i="31"/>
  <c r="AS137" i="31"/>
  <c r="AS136" i="31"/>
  <c r="AS135" i="31"/>
  <c r="AS134" i="31"/>
  <c r="AS133" i="31"/>
  <c r="BB132" i="31"/>
  <c r="AX132" i="31" s="1"/>
  <c r="AW132" i="31" s="1"/>
  <c r="BA132" i="31"/>
  <c r="AZ132" i="31"/>
  <c r="AY132" i="31"/>
  <c r="AS132" i="31"/>
  <c r="BB131" i="31"/>
  <c r="BA131" i="31"/>
  <c r="AZ131" i="31"/>
  <c r="AY131" i="31"/>
  <c r="AX131" i="31"/>
  <c r="AW131" i="31"/>
  <c r="AS131" i="31"/>
  <c r="BB130" i="31"/>
  <c r="BA130" i="31"/>
  <c r="AZ130" i="31"/>
  <c r="AX130" i="31" s="1"/>
  <c r="AW130" i="31" s="1"/>
  <c r="AY130" i="31"/>
  <c r="AS130" i="31"/>
  <c r="BB129" i="31"/>
  <c r="BA129" i="31"/>
  <c r="AZ129" i="31"/>
  <c r="AY129" i="31"/>
  <c r="AX129" i="31" s="1"/>
  <c r="AW129" i="31" s="1"/>
  <c r="AS129" i="31"/>
  <c r="BB128" i="31"/>
  <c r="BA128" i="31"/>
  <c r="AZ128" i="31"/>
  <c r="AY128" i="31"/>
  <c r="AX128" i="31"/>
  <c r="AW128" i="31" s="1"/>
  <c r="AS128" i="31"/>
  <c r="BB127" i="31"/>
  <c r="BA127" i="31"/>
  <c r="AX127" i="31" s="1"/>
  <c r="AW127" i="31" s="1"/>
  <c r="AZ127" i="31"/>
  <c r="AY127" i="31"/>
  <c r="AS127" i="31"/>
  <c r="AS126" i="31"/>
  <c r="AS125" i="31"/>
  <c r="AS124" i="31"/>
  <c r="AS123" i="31"/>
  <c r="AS122" i="31"/>
  <c r="AS121" i="31"/>
  <c r="AS120" i="31"/>
  <c r="AS119" i="31"/>
  <c r="AS118" i="31"/>
  <c r="AS117" i="31"/>
  <c r="AS116" i="31"/>
  <c r="AS115" i="31"/>
  <c r="AS114" i="31"/>
  <c r="AS113" i="31"/>
  <c r="AS112" i="31"/>
  <c r="AS111" i="31"/>
  <c r="AS110" i="31"/>
  <c r="BB109" i="31"/>
  <c r="BA109" i="31"/>
  <c r="AZ109" i="31"/>
  <c r="AY109" i="31"/>
  <c r="AX109" i="31"/>
  <c r="AW109" i="31"/>
  <c r="AS109" i="31"/>
  <c r="BB108" i="31"/>
  <c r="BA108" i="31"/>
  <c r="AZ108" i="31"/>
  <c r="AY108" i="31"/>
  <c r="AX108" i="31" s="1"/>
  <c r="AW108" i="31" s="1"/>
  <c r="AS108" i="31"/>
  <c r="BB107" i="31"/>
  <c r="BA107" i="31"/>
  <c r="AZ107" i="31"/>
  <c r="AY107" i="31"/>
  <c r="AX107" i="31" s="1"/>
  <c r="AW107" i="31" s="1"/>
  <c r="AS107" i="31"/>
  <c r="BB106" i="31"/>
  <c r="AX106" i="31" s="1"/>
  <c r="AW106" i="31" s="1"/>
  <c r="BA106" i="31"/>
  <c r="AZ106" i="31"/>
  <c r="AY106" i="31"/>
  <c r="AS106" i="31"/>
  <c r="BB105" i="31"/>
  <c r="BA105" i="31"/>
  <c r="AZ105" i="31"/>
  <c r="AY105" i="31"/>
  <c r="AX105" i="31"/>
  <c r="AW105" i="31"/>
  <c r="AS105" i="31"/>
  <c r="BB104" i="31"/>
  <c r="BA104" i="31"/>
  <c r="AZ104" i="31"/>
  <c r="AX104" i="31" s="1"/>
  <c r="AW104" i="31" s="1"/>
  <c r="AY104" i="31"/>
  <c r="AS104" i="31"/>
  <c r="BB103" i="31"/>
  <c r="BA103" i="31"/>
  <c r="AZ103" i="31"/>
  <c r="AY103" i="31"/>
  <c r="AX103" i="31" s="1"/>
  <c r="AW103" i="31" s="1"/>
  <c r="AS103" i="31"/>
  <c r="BB102" i="31"/>
  <c r="BA102" i="31"/>
  <c r="AZ102" i="31"/>
  <c r="AY102" i="31"/>
  <c r="AX102" i="31"/>
  <c r="AW102" i="31" s="1"/>
  <c r="AS102" i="31"/>
  <c r="BB101" i="31"/>
  <c r="BA101" i="31"/>
  <c r="AX101" i="31" s="1"/>
  <c r="AW101" i="31" s="1"/>
  <c r="AZ101" i="31"/>
  <c r="AY101" i="31"/>
  <c r="AS101" i="31"/>
  <c r="BB100" i="31"/>
  <c r="BA100" i="31"/>
  <c r="AZ100" i="31"/>
  <c r="AY100" i="31"/>
  <c r="AX100" i="31" s="1"/>
  <c r="AW100" i="31" s="1"/>
  <c r="AS100" i="31"/>
  <c r="AS99" i="31"/>
  <c r="AS98" i="31"/>
  <c r="AS97" i="31"/>
  <c r="AS96" i="31"/>
  <c r="AS95" i="31"/>
  <c r="AS94" i="31"/>
  <c r="AS93" i="31"/>
  <c r="AS92" i="31"/>
  <c r="AS91" i="31"/>
  <c r="AS90" i="31"/>
  <c r="AS89" i="31"/>
  <c r="BB88" i="31"/>
  <c r="BA88" i="31"/>
  <c r="AZ88" i="31"/>
  <c r="AY88" i="31"/>
  <c r="AX88" i="31"/>
  <c r="AW88" i="31" s="1"/>
  <c r="AS88" i="31"/>
  <c r="BB87" i="31"/>
  <c r="BA87" i="31"/>
  <c r="AX87" i="31" s="1"/>
  <c r="AW87" i="31" s="1"/>
  <c r="AZ87" i="31"/>
  <c r="AY87" i="31"/>
  <c r="AS87" i="31"/>
  <c r="BB86" i="31"/>
  <c r="BA86" i="31"/>
  <c r="AZ86" i="31"/>
  <c r="AY86" i="31"/>
  <c r="AX86" i="31" s="1"/>
  <c r="AW86" i="31" s="1"/>
  <c r="AS86" i="31"/>
  <c r="BB85" i="31"/>
  <c r="BA85" i="31"/>
  <c r="AZ85" i="31"/>
  <c r="AY85" i="31"/>
  <c r="AX85" i="31" s="1"/>
  <c r="AW85" i="31" s="1"/>
  <c r="AS85" i="31"/>
  <c r="BB84" i="31"/>
  <c r="BA84" i="31"/>
  <c r="AZ84" i="31"/>
  <c r="AY84" i="31"/>
  <c r="AX84" i="31"/>
  <c r="AW84" i="31" s="1"/>
  <c r="AS84" i="31"/>
  <c r="BB83" i="31"/>
  <c r="BA83" i="31"/>
  <c r="AX83" i="31" s="1"/>
  <c r="AW83" i="31" s="1"/>
  <c r="AZ83" i="31"/>
  <c r="AY83" i="31"/>
  <c r="AS83" i="31"/>
  <c r="BB82" i="31"/>
  <c r="BA82" i="31"/>
  <c r="AZ82" i="31"/>
  <c r="AY82" i="31"/>
  <c r="AX82" i="31" s="1"/>
  <c r="AW82" i="31" s="1"/>
  <c r="AS82" i="31"/>
  <c r="AS81" i="31"/>
  <c r="AS80" i="31"/>
  <c r="AS79" i="31"/>
  <c r="AS78" i="31"/>
  <c r="AS77" i="31"/>
  <c r="AS76" i="31"/>
  <c r="AS75" i="31"/>
  <c r="AS74" i="31"/>
  <c r="AS73" i="31"/>
  <c r="AS72" i="31"/>
  <c r="AS71" i="31"/>
  <c r="AS70" i="31"/>
  <c r="AS69" i="31"/>
  <c r="AS68" i="31"/>
  <c r="AS67" i="31"/>
  <c r="AS66" i="31"/>
  <c r="AS65" i="31"/>
  <c r="AS64" i="31"/>
  <c r="AS63" i="31"/>
  <c r="AS62" i="31"/>
  <c r="AS61" i="31"/>
  <c r="AS60" i="31"/>
  <c r="AS59" i="31"/>
  <c r="AS58" i="31"/>
  <c r="AS57" i="31"/>
  <c r="AS56" i="31"/>
  <c r="AS55" i="31"/>
  <c r="AS54" i="31"/>
  <c r="AS53" i="31"/>
  <c r="AS52" i="31"/>
  <c r="AS51" i="31"/>
  <c r="AS50" i="31"/>
  <c r="AS49" i="31"/>
  <c r="AS48" i="31"/>
  <c r="AS47" i="31"/>
  <c r="AS46" i="31"/>
  <c r="AS45" i="31"/>
  <c r="AS44" i="31"/>
  <c r="AS43" i="31"/>
  <c r="AS42" i="31"/>
  <c r="AS41" i="31"/>
  <c r="AS40" i="31"/>
  <c r="AS39" i="31"/>
  <c r="AS38" i="31"/>
  <c r="BB37" i="31"/>
  <c r="BA37" i="31"/>
  <c r="AZ37" i="31"/>
  <c r="AY37" i="31"/>
  <c r="AX37" i="31" s="1"/>
  <c r="AW37" i="31" s="1"/>
  <c r="AS37" i="31"/>
  <c r="BB36" i="31"/>
  <c r="AX36" i="31" s="1"/>
  <c r="AW36" i="31" s="1"/>
  <c r="BA36" i="31"/>
  <c r="AZ36" i="31"/>
  <c r="AY36" i="31"/>
  <c r="AS36" i="31"/>
  <c r="BB35" i="31"/>
  <c r="BA35" i="31"/>
  <c r="AZ35" i="31"/>
  <c r="AY35" i="31"/>
  <c r="AX35" i="31"/>
  <c r="AW35" i="31"/>
  <c r="AS35" i="31"/>
  <c r="BB34" i="31"/>
  <c r="BA34" i="31"/>
  <c r="AZ34" i="31"/>
  <c r="AY34" i="31"/>
  <c r="AX34" i="31" s="1"/>
  <c r="AW34" i="31" s="1"/>
  <c r="AS34" i="31"/>
  <c r="BB33" i="31"/>
  <c r="BA33" i="31"/>
  <c r="AZ33" i="31"/>
  <c r="AY33" i="31"/>
  <c r="AX33" i="31" s="1"/>
  <c r="AW33" i="31" s="1"/>
  <c r="AS33" i="31"/>
  <c r="BB32" i="31"/>
  <c r="BA32" i="31"/>
  <c r="AZ32" i="31"/>
  <c r="AY32" i="31"/>
  <c r="AX32" i="31"/>
  <c r="AW32" i="31" s="1"/>
  <c r="AS32" i="31"/>
  <c r="BB31" i="31"/>
  <c r="BA31" i="31"/>
  <c r="AX31" i="31" s="1"/>
  <c r="AW31" i="31" s="1"/>
  <c r="AZ31" i="31"/>
  <c r="AY31" i="31"/>
  <c r="AS31" i="31"/>
  <c r="BB30" i="31"/>
  <c r="BA30" i="31"/>
  <c r="AZ30" i="31"/>
  <c r="AY30" i="31"/>
  <c r="AX30" i="31" s="1"/>
  <c r="AW30" i="31" s="1"/>
  <c r="AS30" i="31"/>
  <c r="BB29" i="31"/>
  <c r="BA29" i="31"/>
  <c r="AZ29" i="31"/>
  <c r="AY29" i="31"/>
  <c r="AX29" i="31" s="1"/>
  <c r="AW29" i="31" s="1"/>
  <c r="AS29" i="31"/>
  <c r="BB28" i="31"/>
  <c r="BA28" i="31"/>
  <c r="AZ28" i="31"/>
  <c r="AY28" i="31"/>
  <c r="AX28" i="31"/>
  <c r="AW28" i="31" s="1"/>
  <c r="AS28" i="31"/>
  <c r="BB27" i="31"/>
  <c r="BA27" i="31"/>
  <c r="AX27" i="31" s="1"/>
  <c r="AW27" i="31" s="1"/>
  <c r="AZ27" i="31"/>
  <c r="AY27" i="31"/>
  <c r="AS27" i="31"/>
  <c r="BB26" i="31"/>
  <c r="BA26" i="31"/>
  <c r="AZ26" i="31"/>
  <c r="AY26" i="31"/>
  <c r="AX26" i="31" s="1"/>
  <c r="AW26" i="31" s="1"/>
  <c r="AS26" i="31"/>
  <c r="BB25" i="31"/>
  <c r="BA25" i="31"/>
  <c r="AZ25" i="31"/>
  <c r="AY25" i="31"/>
  <c r="AX25" i="31" s="1"/>
  <c r="AW25" i="31" s="1"/>
  <c r="AS25" i="31"/>
  <c r="BB24" i="31"/>
  <c r="BA24" i="31"/>
  <c r="AZ24" i="31"/>
  <c r="AY24" i="31"/>
  <c r="AX24" i="31" s="1"/>
  <c r="AW24" i="31" s="1"/>
  <c r="AS24" i="31"/>
  <c r="BB23" i="31"/>
  <c r="BA23" i="31"/>
  <c r="AZ23" i="31"/>
  <c r="AY23" i="31"/>
  <c r="AX23" i="31"/>
  <c r="AW23" i="31"/>
  <c r="AS23" i="31"/>
  <c r="BB22" i="31"/>
  <c r="BA22" i="31"/>
  <c r="AZ22" i="31"/>
  <c r="AY22" i="31"/>
  <c r="AX22" i="31" s="1"/>
  <c r="AW22" i="31" s="1"/>
  <c r="AS22" i="31"/>
  <c r="BB21" i="31"/>
  <c r="BA21" i="31"/>
  <c r="AZ21" i="31"/>
  <c r="AY21" i="31"/>
  <c r="AX21" i="31" s="1"/>
  <c r="AW21" i="31" s="1"/>
  <c r="AS21" i="31"/>
  <c r="BB20" i="31"/>
  <c r="AX20" i="31" s="1"/>
  <c r="AW20" i="31" s="1"/>
  <c r="BA20" i="31"/>
  <c r="AZ20" i="31"/>
  <c r="AY20" i="31"/>
  <c r="AS20" i="31"/>
  <c r="BB19" i="31"/>
  <c r="BA19" i="31"/>
  <c r="AZ19" i="31"/>
  <c r="AY19" i="31"/>
  <c r="AX19" i="31"/>
  <c r="AW19" i="31"/>
  <c r="AS19" i="31"/>
  <c r="BB18" i="31"/>
  <c r="BA18" i="31"/>
  <c r="AZ18" i="31"/>
  <c r="AY18" i="31"/>
  <c r="AX18" i="31" s="1"/>
  <c r="AW18" i="31" s="1"/>
  <c r="AS18" i="31"/>
  <c r="BB17" i="31"/>
  <c r="BA17" i="31"/>
  <c r="AZ17" i="31"/>
  <c r="AY17" i="31"/>
  <c r="AX17" i="31" s="1"/>
  <c r="AW17" i="31" s="1"/>
  <c r="AS17" i="31"/>
  <c r="BB16" i="31"/>
  <c r="BA16" i="31"/>
  <c r="AZ16" i="31"/>
  <c r="AY16" i="31"/>
  <c r="AX16" i="31"/>
  <c r="AW16" i="31" s="1"/>
  <c r="AS16" i="31"/>
  <c r="BB15" i="31"/>
  <c r="BA15" i="31"/>
  <c r="AX15" i="31" s="1"/>
  <c r="AW15" i="31" s="1"/>
  <c r="AZ15" i="31"/>
  <c r="AY15" i="31"/>
  <c r="AS15" i="31"/>
  <c r="BB14" i="31"/>
  <c r="BA14" i="31"/>
  <c r="AZ14" i="31"/>
  <c r="AY14" i="31"/>
  <c r="AX14" i="31" s="1"/>
  <c r="AW14" i="31" s="1"/>
  <c r="AS14" i="31"/>
  <c r="BB13" i="31"/>
  <c r="BA13" i="31"/>
  <c r="AZ13" i="31"/>
  <c r="AY13" i="31"/>
  <c r="AX13" i="31" s="1"/>
  <c r="AW13" i="31" s="1"/>
  <c r="AS13" i="31"/>
  <c r="BB12" i="31"/>
  <c r="BA12" i="31"/>
  <c r="AZ12" i="31"/>
  <c r="AY12" i="31"/>
  <c r="AX12" i="31"/>
  <c r="AW12" i="31" s="1"/>
  <c r="AS12" i="31"/>
  <c r="BB11" i="31"/>
  <c r="BA11" i="31"/>
  <c r="AX11" i="31" s="1"/>
  <c r="AW11" i="31" s="1"/>
  <c r="AZ11" i="31"/>
  <c r="AY11" i="31"/>
  <c r="AS11" i="31"/>
  <c r="BB10" i="31"/>
  <c r="BA10" i="31"/>
  <c r="AZ10" i="31"/>
  <c r="AY10" i="31"/>
  <c r="AX10" i="31" s="1"/>
  <c r="AW10" i="31" s="1"/>
  <c r="AS10" i="31"/>
  <c r="BB9" i="31"/>
  <c r="BA9" i="31"/>
  <c r="AZ9" i="31"/>
  <c r="AY9" i="31"/>
  <c r="AX9" i="31" s="1"/>
  <c r="AW9" i="31" s="1"/>
  <c r="AS9" i="31"/>
  <c r="BB8" i="31"/>
  <c r="BA8" i="31"/>
  <c r="AZ8" i="31"/>
  <c r="AY8" i="31"/>
  <c r="AX8" i="31" s="1"/>
  <c r="AW8" i="31" s="1"/>
  <c r="AS8" i="31"/>
  <c r="BB7" i="31"/>
  <c r="BA7" i="31"/>
  <c r="AZ7" i="31"/>
  <c r="AY7" i="31"/>
  <c r="AX7" i="31"/>
  <c r="AW7" i="31"/>
  <c r="AS7" i="31"/>
  <c r="BB6" i="31"/>
  <c r="BA6" i="31"/>
  <c r="AZ6" i="31"/>
  <c r="AY6" i="31"/>
  <c r="AX6" i="31" s="1"/>
  <c r="AW6" i="31" s="1"/>
  <c r="AS6" i="31"/>
  <c r="BB5" i="31"/>
  <c r="BA5" i="31"/>
  <c r="AZ5" i="31"/>
  <c r="AY5" i="31"/>
  <c r="AX5" i="31" s="1"/>
  <c r="AW5" i="31" s="1"/>
  <c r="AS5" i="31"/>
  <c r="BB4" i="31"/>
  <c r="AX4" i="31" s="1"/>
  <c r="AW4" i="31" s="1"/>
  <c r="BA4" i="31"/>
  <c r="AZ4" i="31"/>
  <c r="AY4" i="31"/>
  <c r="AS4" i="31"/>
  <c r="BB3" i="31"/>
  <c r="BA3" i="31"/>
  <c r="AZ3" i="31"/>
  <c r="AY3" i="31"/>
  <c r="AX3" i="31"/>
  <c r="AW3" i="31"/>
  <c r="AS3" i="31"/>
  <c r="BB2" i="31"/>
  <c r="BA2" i="31"/>
  <c r="AZ2" i="31"/>
  <c r="AY2" i="31"/>
  <c r="AX2" i="31" s="1"/>
  <c r="AW2" i="31" s="1"/>
  <c r="AS2" i="31"/>
  <c r="AS418" i="31" s="1"/>
  <c r="V252" i="1"/>
  <c r="W252" i="1"/>
  <c r="U252" i="1"/>
  <c r="T252" i="1"/>
  <c r="S252" i="1"/>
  <c r="R252" i="1"/>
  <c r="Q252" i="1"/>
  <c r="P252" i="1"/>
  <c r="O252" i="1"/>
  <c r="N252" i="1"/>
  <c r="M252" i="1"/>
  <c r="L252" i="1"/>
  <c r="K252" i="1"/>
  <c r="AN248" i="1" l="1"/>
  <c r="AN250" i="1"/>
  <c r="AN247" i="1"/>
  <c r="AN249" i="1"/>
  <c r="AN244" i="1"/>
  <c r="AN246" i="1"/>
  <c r="AN245" i="1"/>
  <c r="AN243" i="1"/>
  <c r="AN238" i="1"/>
  <c r="AN237" i="1"/>
  <c r="AN236" i="1"/>
  <c r="AN239" i="1"/>
  <c r="AN235" i="1"/>
  <c r="AN234" i="1"/>
  <c r="AN219" i="1"/>
  <c r="AN233" i="1"/>
  <c r="AN232" i="1"/>
  <c r="AN231" i="1"/>
  <c r="AN218" i="1"/>
  <c r="AN230" i="1"/>
  <c r="AN229" i="1"/>
  <c r="AN228" i="1"/>
  <c r="AN227" i="1"/>
  <c r="AN226" i="1"/>
  <c r="AN225" i="1"/>
  <c r="AN224" i="1"/>
  <c r="AN223" i="1"/>
  <c r="AN222" i="1"/>
  <c r="AN242" i="1"/>
  <c r="AN217" i="1"/>
  <c r="AN216" i="1"/>
  <c r="AN215" i="1"/>
  <c r="AN214" i="1"/>
  <c r="AN213" i="1"/>
  <c r="AN221" i="1"/>
  <c r="AN241" i="1"/>
  <c r="AN212" i="1"/>
  <c r="AN240" i="1"/>
  <c r="AN220" i="1"/>
  <c r="AN211" i="1"/>
  <c r="AN210" i="1"/>
  <c r="AN193" i="1"/>
  <c r="AN192" i="1"/>
  <c r="AN203" i="1"/>
  <c r="AN191" i="1"/>
  <c r="AN202" i="1"/>
  <c r="AN190" i="1"/>
  <c r="AN209" i="1"/>
  <c r="AN205" i="1"/>
  <c r="AN208" i="1"/>
  <c r="AN201" i="1"/>
  <c r="AN200" i="1"/>
  <c r="AN199" i="1"/>
  <c r="AN198" i="1"/>
  <c r="AN197" i="1"/>
  <c r="AN207" i="1"/>
  <c r="AN196" i="1"/>
  <c r="AN206" i="1"/>
  <c r="AN195" i="1"/>
  <c r="AN189" i="1"/>
  <c r="AN188" i="1"/>
  <c r="AN194" i="1"/>
  <c r="AN187" i="1"/>
  <c r="AN204" i="1"/>
  <c r="AN37" i="1"/>
  <c r="AN36" i="1"/>
  <c r="AN71" i="1"/>
  <c r="AN35" i="1"/>
  <c r="AN34" i="1"/>
  <c r="AN33" i="1"/>
  <c r="AN32" i="1"/>
  <c r="AN31" i="1"/>
  <c r="AN30" i="1"/>
  <c r="AN81" i="1"/>
  <c r="AN29" i="1"/>
  <c r="AN64" i="1"/>
  <c r="AN28" i="1"/>
  <c r="AN80" i="1"/>
  <c r="AN63" i="1"/>
  <c r="AN27" i="1"/>
  <c r="AN62" i="1"/>
  <c r="AN26" i="1"/>
  <c r="AN25" i="1"/>
  <c r="AN24" i="1"/>
  <c r="AN23" i="1"/>
  <c r="AN41" i="1"/>
  <c r="AN61" i="1"/>
  <c r="AN79" i="1"/>
  <c r="AN78" i="1"/>
  <c r="AN60" i="1"/>
  <c r="AN70" i="1"/>
  <c r="AN69" i="1"/>
  <c r="AN40" i="1"/>
  <c r="AN22" i="1"/>
  <c r="AN68" i="1"/>
  <c r="AN67" i="1"/>
  <c r="AN21" i="1"/>
  <c r="AN20" i="1"/>
  <c r="AN59" i="1"/>
  <c r="AN58" i="1"/>
  <c r="AN57" i="1"/>
  <c r="AN19" i="1"/>
  <c r="AN18" i="1"/>
  <c r="AN56" i="1"/>
  <c r="AN17" i="1"/>
  <c r="AN16" i="1"/>
  <c r="AN15" i="1"/>
  <c r="AN55" i="1"/>
  <c r="AN39" i="1"/>
  <c r="AN14" i="1"/>
  <c r="AN13" i="1"/>
  <c r="AN54" i="1"/>
  <c r="AN12" i="1"/>
  <c r="AN11" i="1"/>
  <c r="AN53" i="1"/>
  <c r="AN52" i="1"/>
  <c r="AN77" i="1"/>
  <c r="AN76" i="1"/>
  <c r="AN10" i="1"/>
  <c r="AN51" i="1"/>
  <c r="AN75" i="1"/>
  <c r="AN50" i="1"/>
  <c r="AN74" i="1"/>
  <c r="AN38" i="1"/>
  <c r="AN9" i="1"/>
  <c r="AN8" i="1"/>
  <c r="AN7" i="1"/>
  <c r="AN73" i="1"/>
  <c r="AN49" i="1"/>
  <c r="AN6" i="1"/>
  <c r="AN66" i="1"/>
  <c r="AN72" i="1"/>
  <c r="AN48" i="1"/>
  <c r="AN47" i="1"/>
  <c r="AN65" i="1"/>
  <c r="AN5" i="1"/>
  <c r="AN4" i="1"/>
  <c r="AN3" i="1"/>
  <c r="AN2" i="1"/>
  <c r="AN46" i="1"/>
  <c r="AN45" i="1"/>
  <c r="AN44" i="1"/>
  <c r="AN43" i="1"/>
  <c r="AN42" i="1"/>
  <c r="AN111" i="1"/>
  <c r="AN109" i="1"/>
  <c r="AN108" i="1"/>
  <c r="AN119" i="1"/>
  <c r="AN107" i="1"/>
  <c r="AN126" i="1"/>
  <c r="AN121" i="1"/>
  <c r="AN106" i="1"/>
  <c r="AN125" i="1"/>
  <c r="AN124" i="1"/>
  <c r="AN110" i="1"/>
  <c r="AN118" i="1"/>
  <c r="AN117" i="1"/>
  <c r="AN116" i="1"/>
  <c r="AN115" i="1"/>
  <c r="AN105" i="1"/>
  <c r="AN104" i="1"/>
  <c r="AN103" i="1"/>
  <c r="AN123" i="1"/>
  <c r="AN102" i="1"/>
  <c r="AN122" i="1"/>
  <c r="AN101" i="1"/>
  <c r="AN114" i="1"/>
  <c r="AN100" i="1"/>
  <c r="AN113" i="1"/>
  <c r="AN120" i="1"/>
  <c r="AN112" i="1"/>
  <c r="AN99" i="1"/>
  <c r="AN98" i="1"/>
  <c r="AN97" i="1"/>
  <c r="AN88" i="1"/>
  <c r="AN87" i="1"/>
  <c r="AN96" i="1"/>
  <c r="AN95" i="1"/>
  <c r="AN94" i="1"/>
  <c r="AN86" i="1"/>
  <c r="AN85" i="1"/>
  <c r="AN84" i="1"/>
  <c r="AN93" i="1"/>
  <c r="AN83" i="1"/>
  <c r="AN92" i="1"/>
  <c r="AN91" i="1"/>
  <c r="AN90" i="1"/>
  <c r="AN82" i="1"/>
  <c r="AN89" i="1"/>
  <c r="AN183" i="1"/>
  <c r="AN185" i="1"/>
  <c r="AN182" i="1"/>
  <c r="AN184" i="1"/>
  <c r="AN186" i="1"/>
  <c r="AN181" i="1"/>
  <c r="AN180" i="1"/>
  <c r="AN179" i="1"/>
  <c r="AN178" i="1"/>
  <c r="B86" i="5" l="1"/>
  <c r="C86" i="5"/>
  <c r="A86" i="5"/>
  <c r="H86" i="5" l="1"/>
  <c r="G86" i="5"/>
  <c r="F86" i="5"/>
  <c r="AL252" i="1" l="1"/>
  <c r="AL254" i="1"/>
  <c r="AF254" i="1"/>
  <c r="AG254" i="1"/>
  <c r="AH254" i="1"/>
  <c r="AI254" i="1"/>
  <c r="AJ254" i="1"/>
  <c r="AK254" i="1"/>
  <c r="AM254" i="1"/>
  <c r="AM252" i="1"/>
  <c r="AK252" i="1"/>
  <c r="AJ252" i="1"/>
  <c r="AI252" i="1"/>
  <c r="AH252" i="1"/>
  <c r="AG252" i="1"/>
  <c r="AF252" i="1"/>
  <c r="AE252" i="1"/>
  <c r="AD252" i="1"/>
  <c r="AC252" i="1"/>
  <c r="AA252" i="1"/>
  <c r="Z252" i="1"/>
  <c r="Y252" i="1"/>
  <c r="X252" i="1"/>
  <c r="J252" i="1"/>
  <c r="I252" i="1"/>
  <c r="H252" i="1"/>
  <c r="G252" i="1"/>
  <c r="F252" i="1"/>
  <c r="AN252" i="1" l="1"/>
  <c r="AN254" i="1"/>
</calcChain>
</file>

<file path=xl/sharedStrings.xml><?xml version="1.0" encoding="utf-8"?>
<sst xmlns="http://schemas.openxmlformats.org/spreadsheetml/2006/main" count="10492" uniqueCount="2992">
  <si>
    <t>Name</t>
  </si>
  <si>
    <t>Type</t>
  </si>
  <si>
    <t>Cost</t>
  </si>
  <si>
    <t>Description</t>
  </si>
  <si>
    <t>Cry Baby</t>
  </si>
  <si>
    <t>Ship Upgrade</t>
  </si>
  <si>
    <t>Space Bazaar</t>
  </si>
  <si>
    <t>Gun Hand</t>
  </si>
  <si>
    <t>Crew</t>
  </si>
  <si>
    <t>Expendable: When Killed, discard instead of Removing from Play.</t>
  </si>
  <si>
    <t>Fight</t>
  </si>
  <si>
    <t>Merc</t>
  </si>
  <si>
    <t>X</t>
  </si>
  <si>
    <t>Scrapper</t>
  </si>
  <si>
    <t>Dirty Leech: +2 Fuel from Salvage Ops.</t>
  </si>
  <si>
    <t>Tech</t>
  </si>
  <si>
    <t>Pilot</t>
  </si>
  <si>
    <t>Enforcer</t>
  </si>
  <si>
    <t>Tracey</t>
  </si>
  <si>
    <t>Jesse</t>
  </si>
  <si>
    <t>Wash</t>
  </si>
  <si>
    <t>Negotiate</t>
  </si>
  <si>
    <t>Grifter</t>
  </si>
  <si>
    <t>Unlucky: Whenever a Crew is Killed, Tracey must be Killed first.</t>
  </si>
  <si>
    <t>Opportunist: +1 Contraband from Salvage Ops.</t>
  </si>
  <si>
    <t>Hard Burn: +1 to Full Burn Range.</t>
  </si>
  <si>
    <t>"Bona Fide" Credentials</t>
  </si>
  <si>
    <t>Fake ID</t>
  </si>
  <si>
    <t>Fancy Duds</t>
  </si>
  <si>
    <t>Hacking Rig</t>
  </si>
  <si>
    <t>Transport</t>
  </si>
  <si>
    <t>Shiny Neck Tie</t>
  </si>
  <si>
    <t>Pistol</t>
  </si>
  <si>
    <t>Firearm</t>
  </si>
  <si>
    <t>Security Interface Pad</t>
  </si>
  <si>
    <t>4WD Mule</t>
  </si>
  <si>
    <t>Hastily Forged Documents</t>
  </si>
  <si>
    <t>D</t>
  </si>
  <si>
    <t>1D</t>
  </si>
  <si>
    <t>Knife</t>
  </si>
  <si>
    <t>Explosive Charge</t>
  </si>
  <si>
    <t>Sniper Rifle</t>
  </si>
  <si>
    <t>Explosives</t>
  </si>
  <si>
    <t>When Misbehaving, re-roll any Test result of 1. Does not count towards Gear Limit.</t>
  </si>
  <si>
    <t>Persephone</t>
  </si>
  <si>
    <t>Low Life Vulture: +1 Part from Salvage Ops.</t>
  </si>
  <si>
    <t>After completing a Crime Job, Load 1 Cargo.</t>
  </si>
  <si>
    <t>Helen</t>
  </si>
  <si>
    <t>Mechanic</t>
  </si>
  <si>
    <t>Morale Booster: You may use an Action on your turn to remove Disgruntled from a Crew other than Helen.</t>
  </si>
  <si>
    <t>Billy</t>
  </si>
  <si>
    <t>Bree</t>
  </si>
  <si>
    <t>Emma</t>
  </si>
  <si>
    <t>River Tam</t>
  </si>
  <si>
    <t>Shepherd Book</t>
  </si>
  <si>
    <t>Simon Tam</t>
  </si>
  <si>
    <t>Salvage Pro: +1 Cargo from Salvage Ops.</t>
  </si>
  <si>
    <t>Black Market Ties: May sell Parts to any Solid Contact for $300.</t>
  </si>
  <si>
    <t>Soldier</t>
  </si>
  <si>
    <t>Medic</t>
  </si>
  <si>
    <t>Secret Past: If Working Immoral Job, Shepherd Book must stay Onboard Ship.</t>
  </si>
  <si>
    <t>"I am very smart": +2 to Medic Checks. +2 to River Tam's "Gifted" rolls.</t>
  </si>
  <si>
    <t>A Very Fine Hat</t>
  </si>
  <si>
    <t>Kaylee's Fluffy Pink Dress</t>
  </si>
  <si>
    <t>When Dealing with Contacts, you may Consider up to 4 Jobs.</t>
  </si>
  <si>
    <t>When Buying from Suppliers, you may Buy up to 3 cards.</t>
  </si>
  <si>
    <t>Companion</t>
  </si>
  <si>
    <t>Silverhold</t>
  </si>
  <si>
    <t>Regina</t>
  </si>
  <si>
    <t>Osiris</t>
  </si>
  <si>
    <t>Med Staff</t>
  </si>
  <si>
    <t>Interrogator</t>
  </si>
  <si>
    <t>Inara</t>
  </si>
  <si>
    <t>Yolonda</t>
  </si>
  <si>
    <t>Deceptive: If Saffron or Bridgit are hired by anyone, Remove Yolanda from Play.</t>
  </si>
  <si>
    <t>Official Lookin' Vehicle</t>
  </si>
  <si>
    <t>Alliance Ident Card</t>
  </si>
  <si>
    <t>Simon's Surgical Kit</t>
  </si>
  <si>
    <t>Counts as Solid with Harken. Crew carrying ignores Wanted Crew Roll.</t>
  </si>
  <si>
    <t>+1 to Medic Checks.</t>
  </si>
  <si>
    <t>Fully Equipped Med Bay</t>
  </si>
  <si>
    <t>May re-roll Medic Checks.</t>
  </si>
  <si>
    <t>Full Tune-Up &amp; Retro-Fit</t>
  </si>
  <si>
    <t>Ignore all Breakdowns.</t>
  </si>
  <si>
    <t>Shiny New State-of-the-Art Compression Coils</t>
  </si>
  <si>
    <t>May Mosey up to 2 Sectors. Ignore all Breakdowns.</t>
  </si>
  <si>
    <t>Expanded Crew Quarters</t>
  </si>
  <si>
    <t>Modified Radion Accelerator Mark II</t>
  </si>
  <si>
    <t>Enhanced Graviton Accelerator</t>
  </si>
  <si>
    <t>Range: 6. 1 Fuel to Initiate Full Burn.</t>
  </si>
  <si>
    <t>Range: 6. 1 Fuel to Initiate Full Burn. May Mosey up to 2 Sectors. Ignore all Breakdowns.</t>
  </si>
  <si>
    <t>Hyper-Efficient Radion Accelerator Mark III</t>
  </si>
  <si>
    <t>Bester</t>
  </si>
  <si>
    <t>Bridgit</t>
  </si>
  <si>
    <t>Deceptive: If Yolonda or Saffron are hired by anyone, Remove Bridgit from Play.</t>
  </si>
  <si>
    <t>Crow</t>
  </si>
  <si>
    <t>Grange Brothers</t>
  </si>
  <si>
    <t>Two of a Kind: May Carry 2 Gear. Must pass 2 Alliance Wanted Crew rolls to dodge capture.</t>
  </si>
  <si>
    <t>Kaylee</t>
  </si>
  <si>
    <t>Lucy</t>
  </si>
  <si>
    <t>Morale Booster: You may use an Action on your turn to remove Disgruntled from a Crew other than Lucy.</t>
  </si>
  <si>
    <t>Lund</t>
  </si>
  <si>
    <t>Two-Fry</t>
  </si>
  <si>
    <t>Dead-Eye: When Carrying a Sniper Rifle on Jobs, draw 1 fewer Misbehave Card, down to a minimum of 1.</t>
  </si>
  <si>
    <t>Kaylee's Reprogrammer</t>
  </si>
  <si>
    <t>Glucklich Jia 642X</t>
  </si>
  <si>
    <t>Crow's Knife</t>
  </si>
  <si>
    <t>2D</t>
  </si>
  <si>
    <t>Fast Horses</t>
  </si>
  <si>
    <t>Overcharged Grav Thrusters</t>
  </si>
  <si>
    <t>+1 to Full Burn Range.</t>
  </si>
  <si>
    <t>Sky Hook</t>
  </si>
  <si>
    <t>Requires Pilot to use. After completing a Crime Job, Load 1 Contraband.</t>
  </si>
  <si>
    <t>Onboard Chop Shop</t>
  </si>
  <si>
    <t>After any Salvage Op, take $500 and Load 1 Contraband.</t>
  </si>
  <si>
    <t>GJ Flashkill Pod Grenades</t>
  </si>
  <si>
    <t>Burgess's Laser</t>
  </si>
  <si>
    <t>"Vera"</t>
  </si>
  <si>
    <t>Jayne</t>
  </si>
  <si>
    <t>Public Relations: May Carry 3 Gear.</t>
  </si>
  <si>
    <t>Stitch</t>
  </si>
  <si>
    <t>Zoe</t>
  </si>
  <si>
    <t>Saffron</t>
  </si>
  <si>
    <t>Deceptive: If Bridgit or Yolonda are hired by anyone, Remove Saffron from Play.</t>
  </si>
  <si>
    <t>Hill Folk</t>
  </si>
  <si>
    <t>Stark</t>
  </si>
  <si>
    <t>The Patron</t>
  </si>
  <si>
    <t>Doralee</t>
  </si>
  <si>
    <t>Fendris</t>
  </si>
  <si>
    <t>Skunk</t>
  </si>
  <si>
    <t>Henchman #2: If your Leader becomes Disgruntled, Disgruntle Fendris instead.</t>
  </si>
  <si>
    <t>Gear</t>
  </si>
  <si>
    <t>Morale Booster: You may use an Action on your turn to remove Disgruntled from a Crew other than Emma.</t>
  </si>
  <si>
    <t>YCTtS</t>
  </si>
  <si>
    <t>1 Fuel to initiate Full Burn.</t>
  </si>
  <si>
    <t>Womack</t>
  </si>
  <si>
    <t>Leader</t>
  </si>
  <si>
    <t>Cold and Heartless: When you complete an Immoral Job take $500.</t>
  </si>
  <si>
    <t>Marco</t>
  </si>
  <si>
    <t>Gun Runner: You may Buy Gear with the "Explosives" or "Firearm" Keywords at half price.</t>
  </si>
  <si>
    <t>Burgess</t>
  </si>
  <si>
    <t>Taker: When you complete a Shipping Job, Load 1 Cargo.</t>
  </si>
  <si>
    <t>Monty</t>
  </si>
  <si>
    <t>Smuggler Extraordinaire: When you complete a Smuggling Job, take $500.</t>
  </si>
  <si>
    <t>Corbin</t>
  </si>
  <si>
    <t>Chop Shop: You may Buy Drive Cores and Ship Upgrades at half price.</t>
  </si>
  <si>
    <t>Nandi</t>
  </si>
  <si>
    <t>Heart of Gold: May Hire Crew at no cost.</t>
  </si>
  <si>
    <t>Malcolm</t>
  </si>
  <si>
    <t>Brown Coat: When you complete a Crime Job, take $500.</t>
  </si>
  <si>
    <t>Contact</t>
  </si>
  <si>
    <t>Location 1</t>
  </si>
  <si>
    <t>Location 2</t>
  </si>
  <si>
    <t>Details</t>
  </si>
  <si>
    <t>Pay</t>
  </si>
  <si>
    <t>Bonus</t>
  </si>
  <si>
    <t>Special</t>
  </si>
  <si>
    <t>On the up and up, I swear!</t>
  </si>
  <si>
    <t>Badger</t>
  </si>
  <si>
    <t>Yes</t>
  </si>
  <si>
    <t>Shipping</t>
  </si>
  <si>
    <t>Londinium, White Sun</t>
  </si>
  <si>
    <t>Ezra, Georgia</t>
  </si>
  <si>
    <t>2 Cargo</t>
  </si>
  <si>
    <t>Albion, White Sun</t>
  </si>
  <si>
    <t>Brisingamnen, Himinbjorg</t>
  </si>
  <si>
    <t>Ariel, White Sun</t>
  </si>
  <si>
    <t>Harvest, Red Sun</t>
  </si>
  <si>
    <t>Persephone, Lux</t>
  </si>
  <si>
    <t>Three Hills, Georgia</t>
  </si>
  <si>
    <t>Athens, Georgia</t>
  </si>
  <si>
    <t>Space Bazaar, Red Sun</t>
  </si>
  <si>
    <t>Breaking into new markets</t>
  </si>
  <si>
    <t>Playing the middleman</t>
  </si>
  <si>
    <t>Hard goods for hard times</t>
  </si>
  <si>
    <t>Bilking the yokels</t>
  </si>
  <si>
    <t>Keep your noses clean</t>
  </si>
  <si>
    <t>Jubilee, Red Sun</t>
  </si>
  <si>
    <t>Soldier +300</t>
  </si>
  <si>
    <t>Making the love connection</t>
  </si>
  <si>
    <t>Sihnon, White Sun</t>
  </si>
  <si>
    <t>Boros, Georgia</t>
  </si>
  <si>
    <t>Companion +500</t>
  </si>
  <si>
    <t>No</t>
  </si>
  <si>
    <t>Crime</t>
  </si>
  <si>
    <t>Offload the motherlode</t>
  </si>
  <si>
    <t>Motherlode, Red Sun</t>
  </si>
  <si>
    <t>Misbehave 2</t>
  </si>
  <si>
    <t>Hump 'em, let 'em twist!</t>
  </si>
  <si>
    <t>Silverhold, Heinlein</t>
  </si>
  <si>
    <t>Raising funds at the fundraising</t>
  </si>
  <si>
    <t>Losing patience with Patience…</t>
  </si>
  <si>
    <t>Cover Your Tracks</t>
  </si>
  <si>
    <t>Procure the postman's parcel</t>
  </si>
  <si>
    <t>Poking holes in Niska's plan</t>
  </si>
  <si>
    <t>Takes my breath away</t>
  </si>
  <si>
    <t>Hera, Murphy</t>
  </si>
  <si>
    <t>Misbehave 3</t>
  </si>
  <si>
    <t>Mechanic +1 Part</t>
  </si>
  <si>
    <t>Diamonds the size of testicles…</t>
  </si>
  <si>
    <t>Kerry, Georgia</t>
  </si>
  <si>
    <t>The hospital job</t>
  </si>
  <si>
    <t>Medic +400</t>
  </si>
  <si>
    <t>Santo, Qin Shi Huang</t>
  </si>
  <si>
    <t>Badger's 11 casino caper</t>
  </si>
  <si>
    <t>Jiangyin, Red Sun</t>
  </si>
  <si>
    <t>The Alliance payroll caper</t>
  </si>
  <si>
    <t>St. Alban's, Red Sun</t>
  </si>
  <si>
    <t>Crack the Safe</t>
  </si>
  <si>
    <t>Withdraw from the 1st Bank &amp; Trust</t>
  </si>
  <si>
    <t>Smuggling</t>
  </si>
  <si>
    <t>300/F</t>
  </si>
  <si>
    <t>Aphrodite, Murphy</t>
  </si>
  <si>
    <t>Send them to the ruttin' mines!</t>
  </si>
  <si>
    <t>Slave wrangling</t>
  </si>
  <si>
    <t>Sowing chaos</t>
  </si>
  <si>
    <t>Pushing drops</t>
  </si>
  <si>
    <t>Valentine, White Sun</t>
  </si>
  <si>
    <t>Try one of the border planets</t>
  </si>
  <si>
    <t>Time for a fancy shindig</t>
  </si>
  <si>
    <t>Regina, Georgia</t>
  </si>
  <si>
    <t>Harken</t>
  </si>
  <si>
    <t>Equipment delivery: Persephone</t>
  </si>
  <si>
    <t>Osiris, White Sun</t>
  </si>
  <si>
    <t>4 Cargo</t>
  </si>
  <si>
    <t>Cargo delivery: Valentine</t>
  </si>
  <si>
    <t>Cargo delivery: Ariel</t>
  </si>
  <si>
    <t>Cargo delivery: Osiris</t>
  </si>
  <si>
    <t>1 Cargo</t>
  </si>
  <si>
    <t>Cargo delivery: Albion</t>
  </si>
  <si>
    <t>Cargo delivery: Sihnon</t>
  </si>
  <si>
    <t>4 Parts</t>
  </si>
  <si>
    <t>Equipment delivery: Bellerophon</t>
  </si>
  <si>
    <t>Bellerophon, White Sun</t>
  </si>
  <si>
    <t>Scrap hauling: Space Bazaar</t>
  </si>
  <si>
    <t>Vital supplies: Jubilee</t>
  </si>
  <si>
    <t>Relief supplies: St. Albans</t>
  </si>
  <si>
    <t>St. Albans, Red Sun</t>
  </si>
  <si>
    <t>Fuel run: Silverhold</t>
  </si>
  <si>
    <t>8 Fuel</t>
  </si>
  <si>
    <t>Scrap hauling: Aesir</t>
  </si>
  <si>
    <t>Aesir, Himinbjorg</t>
  </si>
  <si>
    <t>Fuel run: Boros</t>
  </si>
  <si>
    <t>Relief supplies: Newhope</t>
  </si>
  <si>
    <t>Newhope, Georgia</t>
  </si>
  <si>
    <t>Vacationers to Pelorum</t>
  </si>
  <si>
    <t>Pelorum, Lux</t>
  </si>
  <si>
    <t>Settlers to New Melbourne</t>
  </si>
  <si>
    <t>Settlers to Regina</t>
  </si>
  <si>
    <t>Bernadette, White Sun</t>
  </si>
  <si>
    <t>New Melbourne, Red Sun</t>
  </si>
  <si>
    <t>Liann Jiun, White Sun</t>
  </si>
  <si>
    <t>Anson's World, Red Sun</t>
  </si>
  <si>
    <t>Gonghe, White Sun</t>
  </si>
  <si>
    <t>Patience</t>
  </si>
  <si>
    <t>Ithaca, Georgia</t>
  </si>
  <si>
    <t>300/P</t>
  </si>
  <si>
    <t>Feed for the herds</t>
  </si>
  <si>
    <t>3 Cargo</t>
  </si>
  <si>
    <t>Priam, Georgia</t>
  </si>
  <si>
    <t>Big Black cattle drive</t>
  </si>
  <si>
    <t>The beef must flow!</t>
  </si>
  <si>
    <t>Guns for my gun-hands</t>
  </si>
  <si>
    <t>Brisingamen, Himinbjorg</t>
  </si>
  <si>
    <t>Henpecked Badger</t>
  </si>
  <si>
    <t>Good fences make good neighbors</t>
  </si>
  <si>
    <t>Cattle rustling</t>
  </si>
  <si>
    <t>Bank holdup</t>
  </si>
  <si>
    <t>Swipe settler rations</t>
  </si>
  <si>
    <t>Laborer transport</t>
  </si>
  <si>
    <t>University student transport</t>
  </si>
  <si>
    <t>Medical emergency transport</t>
  </si>
  <si>
    <t>Forced settler relocation</t>
  </si>
  <si>
    <t>Ranch hand recruitment</t>
  </si>
  <si>
    <t>Dung run!</t>
  </si>
  <si>
    <t>Rob the Alliance pay train</t>
  </si>
  <si>
    <t>Motherlode Mine Holdup</t>
  </si>
  <si>
    <t>Homesteader transport</t>
  </si>
  <si>
    <t>200/P</t>
  </si>
  <si>
    <t>Irrigation supply run</t>
  </si>
  <si>
    <t>Feeding Alliance fat cats</t>
  </si>
  <si>
    <t>Zir Com deliveries: priority mail run</t>
  </si>
  <si>
    <t>Worker &amp; equipment transport</t>
  </si>
  <si>
    <t>Greenleaf, Red Sun</t>
  </si>
  <si>
    <t>Haulin' military scrap</t>
  </si>
  <si>
    <t>Heavy load! Motherlode ore</t>
  </si>
  <si>
    <t>Heavy Load</t>
  </si>
  <si>
    <t>Gun running: Jiangyin</t>
  </si>
  <si>
    <t>Courting Regina</t>
  </si>
  <si>
    <t>Courting Kerry</t>
  </si>
  <si>
    <t>Some discretion is required</t>
  </si>
  <si>
    <t>Gun running: Three Hills</t>
  </si>
  <si>
    <t>Stolen goods is still stolen</t>
  </si>
  <si>
    <t>Gun running: special order</t>
  </si>
  <si>
    <t>Hot cargo for cold settlers</t>
  </si>
  <si>
    <t>Remove Disrguntled from all Moral Crew.</t>
  </si>
  <si>
    <t>Source</t>
  </si>
  <si>
    <t>Niska</t>
  </si>
  <si>
    <t>Stranger to a strange land</t>
  </si>
  <si>
    <t>Triumph, Heinlein</t>
  </si>
  <si>
    <t>My wife's other nephew needs a lift</t>
  </si>
  <si>
    <t>Slave grab</t>
  </si>
  <si>
    <t>Wet-ware run</t>
  </si>
  <si>
    <t>Kidnapping for fun and profit!</t>
  </si>
  <si>
    <t>From great need springs great profit</t>
  </si>
  <si>
    <t>Narcotics express</t>
  </si>
  <si>
    <t>Pirated tech delivery</t>
  </si>
  <si>
    <t>Jump &amp; hump the competition</t>
  </si>
  <si>
    <t>Spec</t>
  </si>
  <si>
    <t>Pay = 1 Cargo per crew</t>
  </si>
  <si>
    <t>Pay = 1 Contra per crew</t>
  </si>
  <si>
    <t>What's yours is mine…</t>
  </si>
  <si>
    <t>Protection racket: shake down Greenleaf</t>
  </si>
  <si>
    <t>Protection racket: shake down Jubilee</t>
  </si>
  <si>
    <t>Taking candy from babies</t>
  </si>
  <si>
    <t>Hit the relief supplies convoy</t>
  </si>
  <si>
    <t>The temple job</t>
  </si>
  <si>
    <t>Cover your tracks</t>
  </si>
  <si>
    <t>A judge in Niska's pocket</t>
  </si>
  <si>
    <t>The Ariel City Museum art heist</t>
  </si>
  <si>
    <t>Sad little king of a sad little hill</t>
  </si>
  <si>
    <t>Her majesty, the mayor of Whitefall</t>
  </si>
  <si>
    <t>Corporate espionage: target Blue Sun</t>
  </si>
  <si>
    <t>Inside information</t>
  </si>
  <si>
    <t>Misbehave 4</t>
  </si>
  <si>
    <t>The train job</t>
  </si>
  <si>
    <t>The Alliance Reserve bank heist</t>
  </si>
  <si>
    <t>Open the Vault</t>
  </si>
  <si>
    <t>Suit</t>
  </si>
  <si>
    <t>Ace</t>
  </si>
  <si>
    <t>Option 1</t>
  </si>
  <si>
    <t>Option 2</t>
  </si>
  <si>
    <t>A Bit of Local Color</t>
  </si>
  <si>
    <t>Bar Fight!</t>
  </si>
  <si>
    <t>Fight 6 Kosherized Rules; 1-5 Disgruntle all Crew on Job. Attempt Botched. 6+ Proceed.</t>
  </si>
  <si>
    <t>We Will Blow a New Crater in This Little Moon…</t>
  </si>
  <si>
    <t>Negotiate 6; 1-5 Attempt Botched. 6+ Proceed.</t>
  </si>
  <si>
    <t>A Rival Crew</t>
  </si>
  <si>
    <t>Getting Awfully Crowded in My Sky…</t>
  </si>
  <si>
    <t>Fight 9; 1-8 Kill a Crew, Warrant Issued. 9+ Proceed.</t>
  </si>
  <si>
    <t>Maybe We Can Make a Deal.</t>
  </si>
  <si>
    <t>Proceed. If this Job attempt is successful, cut Pay in half, rounded down. Bonuses are unaffected.</t>
  </si>
  <si>
    <t>Gun Play</t>
  </si>
  <si>
    <t>My Guns Will Do the Talkin'</t>
  </si>
  <si>
    <t>Fight 7; 1-6 Kill a Crew, Attempt Botched. 7+ Proceed.</t>
  </si>
  <si>
    <t>Crawl Away Like a Bitty Little Bug</t>
  </si>
  <si>
    <t>Disgruntle all Crew. Attempt Botched.</t>
  </si>
  <si>
    <t>Keep a Low Profile</t>
  </si>
  <si>
    <t>Take the Guards Out… Quiet Like</t>
  </si>
  <si>
    <t>Fight 6 Kosherized Rules; 1-5 Kill a Crew, Attempt Botched. 6+ Proceed.</t>
  </si>
  <si>
    <t>Let's See Ya Talk Your Walk Out of This One</t>
  </si>
  <si>
    <t>Negotiate 9 Bribes; 1-8 Warrant Issued. 9+ Proceed.</t>
  </si>
  <si>
    <t>Let the Bullets Fly</t>
  </si>
  <si>
    <t>Fight 8; 1-7 Kill a Crew, Attempt Botched. 8+ Proceed.</t>
  </si>
  <si>
    <t>Can't Get Paid If Yer Dead</t>
  </si>
  <si>
    <t>Requires Transport. Proceed.</t>
  </si>
  <si>
    <t>Time for Some Thrillin' Heroics</t>
  </si>
  <si>
    <t>Savin' the Day</t>
  </si>
  <si>
    <t>Fight 7; 1-6 Kill a Crew, Warrant Issued. 7+ Remove Disgruntled from Moral Crew, Proceed.</t>
  </si>
  <si>
    <t>Hump 'Em</t>
  </si>
  <si>
    <t>Disgruntle all Moral Crew. Proceed.</t>
  </si>
  <si>
    <t>Alliance Patrol</t>
  </si>
  <si>
    <t>Hearts</t>
  </si>
  <si>
    <t>Identification Please</t>
  </si>
  <si>
    <t>Negotiate 8 - 1 for each of your Warrants. 1-7 Warrant Issued. 8+ Proceed.</t>
  </si>
  <si>
    <t>Hightail It Outta There!</t>
  </si>
  <si>
    <t>Requires Transport. Attempt Botched.</t>
  </si>
  <si>
    <t>Backwater Deputies</t>
  </si>
  <si>
    <t>Maybe We Can Work Something Out?</t>
  </si>
  <si>
    <t>Negotiate 9 Bribes; 1-8 Attempt Botched. 9+ Proceed.</t>
  </si>
  <si>
    <t>There's Only a Couple of 'Em!</t>
  </si>
  <si>
    <t>Fight 7; 1-6 Kill a Crew, Warrant Issued. 7+ Proceed.</t>
  </si>
  <si>
    <t>Denied Docking Rights</t>
  </si>
  <si>
    <t>Cost of Doing Business</t>
  </si>
  <si>
    <t>These Are Not the Crooks You're Looking For…</t>
  </si>
  <si>
    <t>Tech 6; 1-5 Warrant Issued. 6+ Proceed.</t>
  </si>
  <si>
    <t>Kidnapped By Hill Folk</t>
  </si>
  <si>
    <t>The Witch Must Burn!</t>
  </si>
  <si>
    <t>Negotiate 8; 1-7 Kill a Crew, Attempt Botched. 8+ Proceed.</t>
  </si>
  <si>
    <t>Note the Man with the Really Big Gun</t>
  </si>
  <si>
    <t>Let's Go to the Crappy Town Where I'm a Hero!</t>
  </si>
  <si>
    <t>Jayne's Hat</t>
  </si>
  <si>
    <t>Speech! Speech! Speech!</t>
  </si>
  <si>
    <t>Diabolical Master of Disguise</t>
  </si>
  <si>
    <t>The Local Law</t>
  </si>
  <si>
    <t>Money Talks!</t>
  </si>
  <si>
    <t>Negotiate 11 Bribes; 1-10 Attempt Botched. 11+ Proceed.</t>
  </si>
  <si>
    <t>Guns A'Blazin'!</t>
  </si>
  <si>
    <t>Fight 8; 1-7 Kill a Crew, Warrant Issued. 8+ Proceed.</t>
  </si>
  <si>
    <t>The Sheriff's Justice</t>
  </si>
  <si>
    <t>A Hard Man to Sway</t>
  </si>
  <si>
    <t>Negotiate 8; 1-7 Warrant Issued. 8+ Attempt Botched.</t>
  </si>
  <si>
    <t>An' Hell Followed With Him…</t>
  </si>
  <si>
    <t>Fight 9; 1-4 Kill all Crew, Warrant Issued. 5-8 Kill 2 Crew, Warrant Issued. 9+ Kill 1 Crew, Proceed.</t>
  </si>
  <si>
    <t>Tight Security</t>
  </si>
  <si>
    <t>Spades</t>
  </si>
  <si>
    <t>See What You Can Do…</t>
  </si>
  <si>
    <t>Tech 7; 1-6 Attempt Botched. 7+ Proceed.</t>
  </si>
  <si>
    <t>Oh, Real Subtle Guys…</t>
  </si>
  <si>
    <t>Kill the Alarm</t>
  </si>
  <si>
    <t>Rig a Bypass</t>
  </si>
  <si>
    <t>Just Shoot the Gorram Thing!</t>
  </si>
  <si>
    <t>Fight 7; 1-6 Warrant Issued. 7+ Proceed.</t>
  </si>
  <si>
    <t>It Was the Best Day Ever!</t>
  </si>
  <si>
    <t>I Was Pompous…</t>
  </si>
  <si>
    <t>If you have FANCY DUDS, Proceed. Otherwise, Negotiate 6; 1-5 Attempt Botched. 6+ Proceed.</t>
  </si>
  <si>
    <t>My Sister Was Crazy…</t>
  </si>
  <si>
    <t>If you have Medic, Proceed. Otherwise, Tech 6; 1-5 Attempt Botched. 6+ Proceed.</t>
  </si>
  <si>
    <t>A Little Job on the Side</t>
  </si>
  <si>
    <t>Profitable Detour</t>
  </si>
  <si>
    <t>Stay on Target…</t>
  </si>
  <si>
    <t>Proceed.</t>
  </si>
  <si>
    <t>Reaver Raid</t>
  </si>
  <si>
    <t>Run for Your Gorram Life!</t>
  </si>
  <si>
    <t>Requires TRANSPORT. Kill a Crew, Attempt Botched.</t>
  </si>
  <si>
    <t>Hide in the Vault</t>
  </si>
  <si>
    <t>Tech 5; 1-4 Kill all Crew, Attempt Botched. 5+ Take $1000, Attempt Botched.</t>
  </si>
  <si>
    <t>We Need a Distraction!</t>
  </si>
  <si>
    <t>Big Gorram Blast</t>
  </si>
  <si>
    <t>Requires EXPLOSIVES. Proceed.</t>
  </si>
  <si>
    <t>Jigger a Surprise for 'Em</t>
  </si>
  <si>
    <t>Tech 7; 1-6 Warrant Issued. 7+ Proceed.</t>
  </si>
  <si>
    <t>State of the Art Security System</t>
  </si>
  <si>
    <t>Work Some Hacking Magic</t>
  </si>
  <si>
    <t>Bao Xin Jiu Huo</t>
  </si>
  <si>
    <t>Requires EXPLOSIVES. Attempt Botched.</t>
  </si>
  <si>
    <t>An Unexpected Opportunity</t>
  </si>
  <si>
    <t>Deal of the Century</t>
  </si>
  <si>
    <t>Negotiate 7; 1-6 Attempt Botched. 7+ Buy up to 3 Contraband for $100 each. Attempt Botched.</t>
  </si>
  <si>
    <t>Walk Away Entirely</t>
  </si>
  <si>
    <t>Locals in Need</t>
  </si>
  <si>
    <t>Clubs</t>
  </si>
  <si>
    <t>Feed Some Mouths</t>
  </si>
  <si>
    <t>Discard 1 Cargo. Remove Disgruntled from all Moral Crew. Proceed.</t>
  </si>
  <si>
    <t>We Don't Have Time for This</t>
  </si>
  <si>
    <t>Fight 3; 1-2 Attempt Botched. 3+ Disgruntle all Moral Crew. Proceed.</t>
  </si>
  <si>
    <t>It Takes a Woman's Touch</t>
  </si>
  <si>
    <t>Poise and Grace</t>
  </si>
  <si>
    <t>Subtlety and Subterfuge</t>
  </si>
  <si>
    <t>An Interesting Day</t>
  </si>
  <si>
    <t>Money Weren't Good Enough</t>
  </si>
  <si>
    <t>Negotiate 12 Bribes; 1-11 Discard All Mercs. Attempt Botched. 12+ Proceed.</t>
  </si>
  <si>
    <t>If Mercs' Fight total is higher than the rest of the Crew's, discard all Mercs. Include Gear in Fight totals. Proceed.</t>
  </si>
  <si>
    <t>A Formal Affair</t>
  </si>
  <si>
    <t>Look'n the Part</t>
  </si>
  <si>
    <t>Requires FANCY DUDS. Proceed.</t>
  </si>
  <si>
    <t>Work the Crowd</t>
  </si>
  <si>
    <t>Knife Fight</t>
  </si>
  <si>
    <t>Brought a Gun, Eh?</t>
  </si>
  <si>
    <t>Requires FIREARM. Proceed.</t>
  </si>
  <si>
    <t>Slice &amp; Dice</t>
  </si>
  <si>
    <t>Fight 8 +3 Fight with any Knife. 1-7 Attempt Botched. 8+ Proceed.</t>
  </si>
  <si>
    <t>Ambush</t>
  </si>
  <si>
    <t>They've Got Us Surrounded</t>
  </si>
  <si>
    <t>We've Got Ya Outnumbered!</t>
  </si>
  <si>
    <t>Requires 5 or more Crew on Job: Proceed.</t>
  </si>
  <si>
    <t>A Vote of No Confidence</t>
  </si>
  <si>
    <t>I Love My Captain</t>
  </si>
  <si>
    <t>Requires no Disgruntled Crew: Load 1 Cargo. Proceed.</t>
  </si>
  <si>
    <t>We'll be Takin' Out Cuts Now!</t>
  </si>
  <si>
    <t>Pay each Disgruntled Crew an extra Cut now or discard them. Proceed.</t>
  </si>
  <si>
    <t>Load 'er Up!</t>
  </si>
  <si>
    <t>Requires TRANSPORT. Load up to 3 Contraband. Proceed.</t>
  </si>
  <si>
    <t>Idle Hands are the Devil's Workshop</t>
  </si>
  <si>
    <t>Old Vendetta</t>
  </si>
  <si>
    <t>One on One</t>
  </si>
  <si>
    <t>Fight 6 Choose 1 Crew for Fight; 1-5 Kill Chosen Crew. Attempt Botched. 6+ Proceed.</t>
  </si>
  <si>
    <t>Run Like Cowardly Pisspots</t>
  </si>
  <si>
    <t>Requires TRANSPORT. Disgruntle all Crew. Proceed.</t>
  </si>
  <si>
    <t>Alliance Operatives</t>
  </si>
  <si>
    <t>Two by Two, Hands of Blue</t>
  </si>
  <si>
    <t>Requires TRANSPORT. Attempt Botched.</t>
  </si>
  <si>
    <t>Trouble You've Not Known…</t>
  </si>
  <si>
    <t>Fight 10; 1-5 Kill all Crew; Warrant Issued. 6-9 Kill 2 Crew, Warrant Issued. 10+ Attempt Botched.</t>
  </si>
  <si>
    <t>Keep Flying!</t>
  </si>
  <si>
    <t>--Player to your right must move Alliance Cruiser 1 Sector within Alliance Space. --Keep Flying.</t>
  </si>
  <si>
    <t>Customs Inspection</t>
  </si>
  <si>
    <t>Prepare to be Boarded!</t>
  </si>
  <si>
    <t>--Contraband &amp; Fugitives not in your Stash are seized. --Full Stop.</t>
  </si>
  <si>
    <t>Turn and Burn!</t>
  </si>
  <si>
    <t>--Spend 1 Fuel. --Warrant Issued. --Evade.</t>
  </si>
  <si>
    <t>Abandoned Ship</t>
  </si>
  <si>
    <t>"Rescue" the Valuables</t>
  </si>
  <si>
    <t>--SALVAGE OP: Load 2 Contraband. --Full Stop.</t>
  </si>
  <si>
    <t>Slide on By</t>
  </si>
  <si>
    <t>--Keep Flying.</t>
  </si>
  <si>
    <t>Distress Signal</t>
  </si>
  <si>
    <t>We a Search &amp; Rescue Tug?</t>
  </si>
  <si>
    <t>--Spend 1 Fuel. --Remove Disgruntled from all Moral Crew and take $200. --Full Stop.</t>
  </si>
  <si>
    <t>Say a Prayer &amp; Slide on By</t>
  </si>
  <si>
    <t>--All Moral Crew are Disgruntled. --Keep Flying.</t>
  </si>
  <si>
    <t>What’s Going on in the Engine Room?</t>
  </si>
  <si>
    <t>Were there Space Monkeys?</t>
  </si>
  <si>
    <t>Tech 7 Breakdown; 1-6 Full Stop. 7+ Keep Flying.</t>
  </si>
  <si>
    <t>Just Rewire the Grav-Thrust</t>
  </si>
  <si>
    <t>--Spend 1 Part. --Keep Flying.</t>
  </si>
  <si>
    <t>Minor Technical Difficulty</t>
  </si>
  <si>
    <t>Just Keep Her in the Air</t>
  </si>
  <si>
    <t>Tech 5 Breakdown; 1-4 Full Stop. 5+ Keep Flying.</t>
  </si>
  <si>
    <t>Swap in the Spare</t>
  </si>
  <si>
    <t>If'n the Coil Busts, We're Driftin'</t>
  </si>
  <si>
    <t>Best not Bust Then!</t>
  </si>
  <si>
    <t>Tech 8 Breakdown; 1-7 Full Stop. 8+ Keep Flying.</t>
  </si>
  <si>
    <t>Replace the Whole Damn Mess</t>
  </si>
  <si>
    <t>--Spend 2 Parts. --Keep Flying.</t>
  </si>
  <si>
    <t>"Family" Dinner</t>
  </si>
  <si>
    <t>Kind of You to Share</t>
  </si>
  <si>
    <t>Alliance Entanglements</t>
  </si>
  <si>
    <t>Wild Gosling Chase</t>
  </si>
  <si>
    <t>A Legitimate Tip</t>
  </si>
  <si>
    <t>Requires Solid Harken Rep: --Move the Cruiser to an Alliance Sector with an Outlaw Ship. --Take $500 &amp; Keep Flying.</t>
  </si>
  <si>
    <t>Freighter Convoy</t>
  </si>
  <si>
    <t>--You may purchase Fuel for $200, Parts for $300 and up to 3 Cargo for $300 each. --Keep Flying.</t>
  </si>
  <si>
    <t>Goin' Pirate!</t>
  </si>
  <si>
    <t>--Moral Crew become Disgruntled. Fight 8; 1-7 Kill a Crew. Full Stop. 8+ Load 3 Contraband. Full Stop.</t>
  </si>
  <si>
    <t>Alliance Cruiser</t>
  </si>
  <si>
    <t>Can't Run. They're Pullin' Us In!</t>
  </si>
  <si>
    <t>See card.</t>
  </si>
  <si>
    <t>Reaver Cutter</t>
  </si>
  <si>
    <t>If We're Very Lucky…</t>
  </si>
  <si>
    <t>Crazy Ivan!</t>
  </si>
  <si>
    <t>Requires Pilot and Mechanic: --Spend 1 Fuel. --Evade.</t>
  </si>
  <si>
    <t>Reaver Bait</t>
  </si>
  <si>
    <t>Decoy 'Em</t>
  </si>
  <si>
    <t>They Won't See This Comin'</t>
  </si>
  <si>
    <t>Derelict Ship</t>
  </si>
  <si>
    <t>Pick the Bones</t>
  </si>
  <si>
    <t>--Salvage Op: Load 2 Cargo. --Full Stop.</t>
  </si>
  <si>
    <t>Hold to Course</t>
  </si>
  <si>
    <t>Nav Hazard: Asteroid</t>
  </si>
  <si>
    <t>A Leave on the Wind…</t>
  </si>
  <si>
    <t>--If you have Pilot, Keep Flying. --Otherwise: Spend 1 Fuel, Keep Flying.</t>
  </si>
  <si>
    <t>Take the Long Way 'Round</t>
  </si>
  <si>
    <t>--Full Stop.</t>
  </si>
  <si>
    <t>Ship Graveyard</t>
  </si>
  <si>
    <t>Premium Salvage</t>
  </si>
  <si>
    <t>No Time to Dilly Dally</t>
  </si>
  <si>
    <t>What's That Noise?</t>
  </si>
  <si>
    <t>That Doesn't Sound Good…</t>
  </si>
  <si>
    <t>Tech 6 Breakdown; 1-5 Full Stop. 6+ Keep Flying.</t>
  </si>
  <si>
    <t>Gorram Parts Ain't Free</t>
  </si>
  <si>
    <t>Ruttin' Drive Core's Blown</t>
  </si>
  <si>
    <t>See What's Ailin' Her</t>
  </si>
  <si>
    <t>Tell Me We Got a Spare…</t>
  </si>
  <si>
    <t>Punctured Fuel Lines</t>
  </si>
  <si>
    <t>Patch It Best Ya Can</t>
  </si>
  <si>
    <t>Tech 5 Breakdown; 1-4 Lose 2 Fuel. Full Stop. 5+ Keep Flying.</t>
  </si>
  <si>
    <t>Nav Hazard: Debris Field</t>
  </si>
  <si>
    <t>Push on Through</t>
  </si>
  <si>
    <t>Stop and Take a Look</t>
  </si>
  <si>
    <t>Tech 6 Salvage Op 1-3 Full Stop. 4-5 Load 1 Cargo, Full Stop. 6+ Load 2 Cargo, Full Stop.</t>
  </si>
  <si>
    <t>Scrapper Ambush</t>
  </si>
  <si>
    <t>Slip the Net</t>
  </si>
  <si>
    <t>Take 'em Head On!</t>
  </si>
  <si>
    <t>Fight 9 Salvage Op; 1-8 Kill a Crew. Full Stop. 9+ Take $500 and 2 Parts. Full Stop.</t>
  </si>
  <si>
    <t>Ghost Ship</t>
  </si>
  <si>
    <t>I Got a Bad Feelin'</t>
  </si>
  <si>
    <t>Reaver on Board!</t>
  </si>
  <si>
    <t>Fight 7 Salvage Op; 1-6 Kill 2 Crew. Full Stop. 7+ Take $1000. Full Stop.</t>
  </si>
  <si>
    <t>A Rogue Trader</t>
  </si>
  <si>
    <t>Deals on the Go!</t>
  </si>
  <si>
    <t>--You may buy Fuel for $200, Parts for $300 or up to 3 Contraband for $400 each. --Keep Flying.</t>
  </si>
  <si>
    <t>Piracy!</t>
  </si>
  <si>
    <t>Alliance</t>
  </si>
  <si>
    <t>Border</t>
  </si>
  <si>
    <t>Range 4. No fuel required to Initiate Full Burn.</t>
  </si>
  <si>
    <t>Helmsman</t>
  </si>
  <si>
    <t>Alliance Training: Counts as Solid with Harken.</t>
  </si>
  <si>
    <t>Alliance Body Armor</t>
  </si>
  <si>
    <t>If Crew carrying Armor is Killed, roll: 1-3: Crew is Killed. 4-6: Crew is not Killed.</t>
  </si>
  <si>
    <t>After completing a Smuggling Job, Load 1 Contraband.</t>
  </si>
  <si>
    <t>The Specialist</t>
  </si>
  <si>
    <t>Wet Work: May not Carry Gear.</t>
  </si>
  <si>
    <t>Breaching Tool</t>
  </si>
  <si>
    <t>+1 Contraband from Salvage Ops.</t>
  </si>
  <si>
    <t>Tall Playing Cards</t>
  </si>
  <si>
    <t>"The Best in the House"</t>
  </si>
  <si>
    <t>Discard to remove Disgruntled from all Crew.</t>
  </si>
  <si>
    <t>Cortex Uplink</t>
  </si>
  <si>
    <t>From any location, you may use a Deal Action to Consider the top, face down card from any Contact. Accept or discard the Job as normal.</t>
  </si>
  <si>
    <t>Vehicle Mounted BFG</t>
  </si>
  <si>
    <t>Gentleman's Dueling Sword</t>
  </si>
  <si>
    <t>GAMBLING: Discard to Use: Pay the Bank $500. Draw 5 Misbehave Cards. If at least 3 of the 5 cards have matching suits, take $1500.</t>
  </si>
  <si>
    <t>Universal Encyclopedia</t>
  </si>
  <si>
    <t>From any location, you may use a Deal Action to look at the top 3 cards of the Misbehave Deck. Replace them in any order.</t>
  </si>
  <si>
    <t>The Fixer</t>
  </si>
  <si>
    <t>Accountant</t>
  </si>
  <si>
    <t>Shady Connections</t>
  </si>
  <si>
    <t>Cooking the Books: Whenever you receive a Goal token, take $500.</t>
  </si>
  <si>
    <t>Two-Fry's Carbine</t>
  </si>
  <si>
    <t>Nandi's Gun Collection</t>
  </si>
  <si>
    <t>Elder Gommen</t>
  </si>
  <si>
    <t>Head Goon</t>
  </si>
  <si>
    <t>Devout: If Working Immoral Job, Elder Gommen must stay Onboard Ship.</t>
  </si>
  <si>
    <t>Merchant</t>
  </si>
  <si>
    <t>Shrewd Trader: Whenever you sell Cargo to a Contact, take an extra $100 per Cargo.</t>
  </si>
  <si>
    <t>--Spend 1 Cargo. --Remove Disgruntled from all Crew. --Keep Flying.</t>
  </si>
  <si>
    <t>Immoral</t>
  </si>
  <si>
    <t>Legal</t>
  </si>
  <si>
    <t>Tech 8 Salvage Op; 1-7 Load 2 Parts. Full Stop. 8+ Take 1 Ship Upgrade from any discard pile. Full Stop.</t>
  </si>
  <si>
    <t>Talk</t>
  </si>
  <si>
    <t>Keyword</t>
  </si>
  <si>
    <t>Bribes</t>
  </si>
  <si>
    <t>Range war: Cannary sabotage</t>
  </si>
  <si>
    <t>400/Tech</t>
  </si>
  <si>
    <t>Range war: Feedlot sabotage</t>
  </si>
  <si>
    <t>Range war: Three Hills</t>
  </si>
  <si>
    <t>Extra Pay</t>
  </si>
  <si>
    <t>200/Fight</t>
  </si>
  <si>
    <t>300/Fight</t>
  </si>
  <si>
    <t>Range war: Brisingamen</t>
  </si>
  <si>
    <t>Range war: Jiangyin</t>
  </si>
  <si>
    <t>Data jacking</t>
  </si>
  <si>
    <t>500/Tech</t>
  </si>
  <si>
    <t>Delaying the dive</t>
  </si>
  <si>
    <t>500/Talk</t>
  </si>
  <si>
    <t>Talkin' all respectable-like</t>
  </si>
  <si>
    <t>Filling up their dance cards</t>
  </si>
  <si>
    <t>Street sweepers</t>
  </si>
  <si>
    <t>Task</t>
  </si>
  <si>
    <t>Cortex relay maintenance</t>
  </si>
  <si>
    <t>200/Tech</t>
  </si>
  <si>
    <t>Riot suppression: Ezra food shortage</t>
  </si>
  <si>
    <t>Riot suppression: Rancher protest</t>
  </si>
  <si>
    <t>Riot suppression: Dock worker strike</t>
  </si>
  <si>
    <t>400/Talk</t>
  </si>
  <si>
    <t>Zir Com franchising: UAP transport hub</t>
  </si>
  <si>
    <t>Zir Com franchising: Bachofen Docks</t>
  </si>
  <si>
    <t>Zir Com franchising: Tanis Docks</t>
  </si>
  <si>
    <t>Special delivery: Classified tech</t>
  </si>
  <si>
    <t>Special delivery: Special prototype</t>
  </si>
  <si>
    <t>300/Tech</t>
  </si>
  <si>
    <t>The big bad Niska</t>
  </si>
  <si>
    <t>400/Fight</t>
  </si>
  <si>
    <t>It's not business, it's personal</t>
  </si>
  <si>
    <t>Repo by fire</t>
  </si>
  <si>
    <t>Sharking the whales</t>
  </si>
  <si>
    <t>Moon the Alliance</t>
  </si>
  <si>
    <t>Misbehave 1/3 Fugi</t>
  </si>
  <si>
    <t>Misbehave 2/1 Fugi</t>
  </si>
  <si>
    <t>Misbehave 2/3 Fugi</t>
  </si>
  <si>
    <t>Misbehave 3/1 Fugi</t>
  </si>
  <si>
    <t>1 Fugi</t>
  </si>
  <si>
    <t>3 Fugi</t>
  </si>
  <si>
    <t>Fugi, no limit</t>
  </si>
  <si>
    <t>Misbehave 1/Fugi, no limit</t>
  </si>
  <si>
    <t>Misbehave 2/2 Contra</t>
  </si>
  <si>
    <t>2 Contra</t>
  </si>
  <si>
    <t>5 Fugi</t>
  </si>
  <si>
    <t>Misbehave 4/5 Fugi</t>
  </si>
  <si>
    <t>2 Pass, 2 Parts</t>
  </si>
  <si>
    <t>Pass, no limit</t>
  </si>
  <si>
    <t>3 Pass</t>
  </si>
  <si>
    <t>1 Pass</t>
  </si>
  <si>
    <t>2 Pass</t>
  </si>
  <si>
    <t>2 Pass, 1 Cargo</t>
  </si>
  <si>
    <t>Misbehave 1/2 Contra</t>
  </si>
  <si>
    <t>Misbehave 1/1 Contra</t>
  </si>
  <si>
    <t>1 Contra</t>
  </si>
  <si>
    <t>Misbehave 2/1 Contra</t>
  </si>
  <si>
    <t>Misbehave 2/4 Contra</t>
  </si>
  <si>
    <t>4 Contra</t>
  </si>
  <si>
    <t>PBH</t>
  </si>
  <si>
    <t>Sub</t>
  </si>
  <si>
    <t>Piracy</t>
  </si>
  <si>
    <t>Any Rival</t>
  </si>
  <si>
    <t>4 Goods/Kill 1, Botched</t>
  </si>
  <si>
    <t>6 Goods/Kill 1, Warrant</t>
  </si>
  <si>
    <t>Rival Outlaw Ship</t>
  </si>
  <si>
    <t>200/G</t>
  </si>
  <si>
    <t>Unique Core: May not be replaced. May only be used on S.S. Walden. Range: 4. Immune to Heavy Load penalty.</t>
  </si>
  <si>
    <t>Bounty</t>
  </si>
  <si>
    <t>Command Cruiser</t>
  </si>
  <si>
    <t>Mag-Grappler Launchers</t>
  </si>
  <si>
    <t>EVA Suit</t>
  </si>
  <si>
    <t>Fed Marshal</t>
  </si>
  <si>
    <t>Sheriff Bourne</t>
  </si>
  <si>
    <t>Lawman</t>
  </si>
  <si>
    <t>Jubal Early</t>
  </si>
  <si>
    <t>Early's Pistol</t>
  </si>
  <si>
    <t>Early's Combat Armor</t>
  </si>
  <si>
    <t>Alliance commission</t>
  </si>
  <si>
    <t>Pirate: When you complete a Piracy Job, steal $500 from the targeted Rival.</t>
  </si>
  <si>
    <t>Dalin</t>
  </si>
  <si>
    <t>3 Inactive Jobs/Warrant</t>
  </si>
  <si>
    <t>800/J</t>
  </si>
  <si>
    <t>Rival not Solid with Niska</t>
  </si>
  <si>
    <t>All Goods/Kill 1, Warrant</t>
  </si>
  <si>
    <t>A message from Niska</t>
  </si>
  <si>
    <t>5 Goods/Kill 1, Warrant</t>
  </si>
  <si>
    <t>Agent McGinnis</t>
  </si>
  <si>
    <t>Electronic Defense Suite</t>
  </si>
  <si>
    <t>The Guardian</t>
  </si>
  <si>
    <t>Alliance Sonic Rifle</t>
  </si>
  <si>
    <t>Booby Trap</t>
  </si>
  <si>
    <t>Cryo Stasis Chamber</t>
  </si>
  <si>
    <t>Dobson's Vector Pistol</t>
  </si>
  <si>
    <t>May be used in Kosherized Fights. Does not count towards Gear Limit.</t>
  </si>
  <si>
    <t xml:space="preserve">Dobson </t>
  </si>
  <si>
    <t>Mole: In Alliance Space, you may move Alliance Cruiser to your Sector as a Fly Action. Bounty Bonus +$500. Will not work Illegal Jobs.</t>
  </si>
  <si>
    <t>Bandit</t>
  </si>
  <si>
    <t>Bird-Doggin': When you complete a Piracy Job, steal $200 from the targeted Rival.</t>
  </si>
  <si>
    <t>Deputy</t>
  </si>
  <si>
    <t>Chari</t>
  </si>
  <si>
    <t>"Friendly" Game of Cards</t>
  </si>
  <si>
    <t>GAMBLING. Discard to Use: Pay Bank $300. Name a Suit. Flip over 3 Misbehave Cards. Take $500 and remove 1 Disgruntled token for each card that matches the named suit.</t>
  </si>
  <si>
    <t>Meadows</t>
  </si>
  <si>
    <t>Hero Worship: Any time a Crew is Killed, Apprehended, or Seized by the Alliance, you may Kill Meadows instead.</t>
  </si>
  <si>
    <t>Intel Broker: Once per Work Action, you may pay $200 to discard and re-draw a Misbehave Card.</t>
  </si>
  <si>
    <t>Early's Datascope</t>
  </si>
  <si>
    <t>As a Work Action, you may reveal the top 3 cards for your current location's Supply Deck and place them all in the discard pile.</t>
  </si>
  <si>
    <t>Contract jumper</t>
  </si>
  <si>
    <t>Rival With no Active Patience Jobs</t>
  </si>
  <si>
    <t>Cortex Alert: Enforcers</t>
  </si>
  <si>
    <t>Apprehend/Kill 1, Botch</t>
  </si>
  <si>
    <t>Wanted: Bree</t>
  </si>
  <si>
    <t>Wanted: Crow</t>
  </si>
  <si>
    <t>Apprehend/Kill 2, Botch</t>
  </si>
  <si>
    <t>Wanted: Dalin</t>
  </si>
  <si>
    <t>Wanted: The Fixer</t>
  </si>
  <si>
    <t>Wanted: Grange Brothers</t>
  </si>
  <si>
    <t>Wanted: Helen</t>
  </si>
  <si>
    <t>Wanted: Interrogator</t>
  </si>
  <si>
    <t>Wanted: Jayne</t>
  </si>
  <si>
    <t>Wanted: Jesse</t>
  </si>
  <si>
    <t>Wanted: River Tam</t>
  </si>
  <si>
    <t>Wanted: Simon Tam</t>
  </si>
  <si>
    <t>Apprehend/Botch</t>
  </si>
  <si>
    <t>Wanted: The Specialist</t>
  </si>
  <si>
    <t>Wanted: Stitch</t>
  </si>
  <si>
    <t>Wanted: Tracey</t>
  </si>
  <si>
    <t>Wanted: Two-Fry</t>
  </si>
  <si>
    <t>Wanted: Zoe</t>
  </si>
  <si>
    <t>Cortex Alert: Bandits</t>
  </si>
  <si>
    <t>Wanted: Billy</t>
  </si>
  <si>
    <t>Cortex Alert: Scrappers</t>
  </si>
  <si>
    <t>Drive Core</t>
  </si>
  <si>
    <t>For each Crew on Job without Gear, Load 1 Contraband. Proceed.</t>
  </si>
  <si>
    <t>Hawkshadow</t>
  </si>
  <si>
    <t>Fulton</t>
  </si>
  <si>
    <t>DeSalvo</t>
  </si>
  <si>
    <t>Doc Steele</t>
  </si>
  <si>
    <t>China</t>
  </si>
  <si>
    <t>Time Bomb</t>
  </si>
  <si>
    <t>Rawhide</t>
  </si>
  <si>
    <t>Maxx</t>
  </si>
  <si>
    <t>Kid</t>
  </si>
  <si>
    <t>Hwa Ling</t>
  </si>
  <si>
    <t>Devil</t>
  </si>
  <si>
    <t>Barker</t>
  </si>
  <si>
    <t>Wright</t>
  </si>
  <si>
    <t>N/A</t>
  </si>
  <si>
    <t>Meridian</t>
  </si>
  <si>
    <t>Tong</t>
  </si>
  <si>
    <t>Extra Misbehaves?</t>
  </si>
  <si>
    <t>Something with Lawmen</t>
  </si>
  <si>
    <t>Somethig with showdowns</t>
  </si>
  <si>
    <t>Something with piracy?</t>
  </si>
  <si>
    <t>Something with bounties</t>
  </si>
  <si>
    <t>Parts Hog</t>
  </si>
  <si>
    <t>Ship</t>
  </si>
  <si>
    <t>Core Game</t>
  </si>
  <si>
    <t>Messy Burner</t>
  </si>
  <si>
    <t>Lose one Upgrade slot.</t>
  </si>
  <si>
    <t>Rigid Chassis</t>
  </si>
  <si>
    <t>Disgruntle all Grifters on your Crew.</t>
  </si>
  <si>
    <t>May not hire Crew with the Grifter Profession.</t>
  </si>
  <si>
    <t>Snitch</t>
  </si>
  <si>
    <t>Reputation</t>
  </si>
  <si>
    <t>Disgruntle all Soldiers on your Crew.</t>
  </si>
  <si>
    <t>May not hire Crew with the Soldier Profession.</t>
  </si>
  <si>
    <t>Dishonorable</t>
  </si>
  <si>
    <t>Disgruntle all Medics on your Crew.</t>
  </si>
  <si>
    <t>May not hire Crew with the Medic Profession.</t>
  </si>
  <si>
    <t>Butcher</t>
  </si>
  <si>
    <t>Disgruntle all Companions on your Crew.</t>
  </si>
  <si>
    <t>May not hire Crew with the Companion Profession.</t>
  </si>
  <si>
    <t>Black Mark</t>
  </si>
  <si>
    <t>Your turn is over. Reshuffle.</t>
  </si>
  <si>
    <t>Slow Day</t>
  </si>
  <si>
    <t>Misc</t>
  </si>
  <si>
    <t>Debt to Niska</t>
  </si>
  <si>
    <t>On your turn, if the Alliance Cruiser moves a number of Sectors, add your Warrants to that number and the Cruiser must end closer to you if it can.</t>
  </si>
  <si>
    <t>Harken's Got My Scent</t>
  </si>
  <si>
    <t>Badger's Due</t>
  </si>
  <si>
    <t>Postal Tariff</t>
  </si>
  <si>
    <t>Choices</t>
  </si>
  <si>
    <t>Warrant issued.</t>
  </si>
  <si>
    <t>Begin play with a Warrant. Always counts as an Outlaw Ship.</t>
  </si>
  <si>
    <t>Person of Interest</t>
  </si>
  <si>
    <t>Mister Universe</t>
  </si>
  <si>
    <t>Blue Sun</t>
  </si>
  <si>
    <t>Harrow</t>
  </si>
  <si>
    <t>Temporary</t>
  </si>
  <si>
    <t>Starting</t>
  </si>
  <si>
    <t>Number</t>
  </si>
  <si>
    <t>Total</t>
  </si>
  <si>
    <t>Jobs</t>
  </si>
  <si>
    <t>Murphy</t>
  </si>
  <si>
    <t>Trade Baron: Whenever you sell Cargo or Contraband to a Contact, take an extra $100 each.</t>
  </si>
  <si>
    <t>Atherton</t>
  </si>
  <si>
    <t>Black Mark: May not hire Crew with the Companion Profession.</t>
  </si>
  <si>
    <t>Fruity Oaty Bar</t>
  </si>
  <si>
    <t>Heist Intel</t>
  </si>
  <si>
    <t>On your turn, discard to look at the top 3 cards of the Misbehave deck. Return them to the deck, in any order, or discard all of them.</t>
  </si>
  <si>
    <t>The Middleman</t>
  </si>
  <si>
    <t>The Salesman</t>
  </si>
  <si>
    <t>Wholesaler: As a Buy Action, discard to purchase a Ship Upgrade or Drive Core from any discard pile, at half price. This may be done from any location.</t>
  </si>
  <si>
    <t>Sheydra</t>
  </si>
  <si>
    <t>Cortland</t>
  </si>
  <si>
    <t>The Operative's Sword</t>
  </si>
  <si>
    <t>Counts as a Knife. Discard to count as an "Ace" for any Misbehave Card: Proceed.</t>
  </si>
  <si>
    <t>MF-813 Flying Mule</t>
  </si>
  <si>
    <t>After completing a Crime Job, Load 6 Goods, minus 1 per Crew Working the Job.</t>
  </si>
  <si>
    <t>Maque Tiles</t>
  </si>
  <si>
    <t>GAMBLING. Discard to Use: Choose red or black. Draw 2 Misbehave Cards. If both suits match choice, take $1200.</t>
  </si>
  <si>
    <t>Mal's Frontier Model B</t>
  </si>
  <si>
    <t>Mal's Brown Coat</t>
  </si>
  <si>
    <t>Love Bot</t>
  </si>
  <si>
    <t>You may use an Action on your turn to Remove Disgruntled from a Crew.</t>
  </si>
  <si>
    <t>Kaylee's Parasol</t>
  </si>
  <si>
    <t>Hull-Mounted Flak Gun</t>
  </si>
  <si>
    <t>When in a Sector with a Reaver Cutter, discard to ignore Reaver Cutter's effects and move that Reaver Cutter 1 Sector within Rim or Border Space.</t>
  </si>
  <si>
    <t>Reaver-Flage</t>
  </si>
  <si>
    <t>Ship may move into a Sector occupied by a Reaver Ship. Discard after losing any Crew to the Reavers.</t>
  </si>
  <si>
    <t>Long-Range Scanner Array</t>
  </si>
  <si>
    <t>During a Fly Action you may resolve Reaver or Alliance Alert Tokens in adjacent Sectors.</t>
  </si>
  <si>
    <t>Modded Fuel Catalyzer</t>
  </si>
  <si>
    <t>When initiating a Full Burn, Spend 1 additional Fuel to add +2 to your Drive Core's Max Range this turn.</t>
  </si>
  <si>
    <t>Xunsu Whisper X1</t>
  </si>
  <si>
    <t>Range 6. 1 Fuel to initiate Full Burn. Whenever a Reaver or Alliance Ship enters your current Sector, you may immediately roll a Dice: 1-2: No effect. 3-6: Evade.</t>
  </si>
  <si>
    <t>Meridian, Blue Sun</t>
  </si>
  <si>
    <t>Gravy train's a'comin'</t>
  </si>
  <si>
    <t>Deadwood, Blue Sun</t>
  </si>
  <si>
    <t>Miranda, Burnham</t>
  </si>
  <si>
    <t>Tag &amp; Bag</t>
  </si>
  <si>
    <t>Finder's keepers</t>
  </si>
  <si>
    <t>I'll show you a psychotic lowlife!</t>
  </si>
  <si>
    <t>Highgate, Blue Sun</t>
  </si>
  <si>
    <t>Robbing Peter to feed Paul</t>
  </si>
  <si>
    <t>Misbehave 2/3 Contra</t>
  </si>
  <si>
    <t>Shadow, Murphy</t>
  </si>
  <si>
    <t>3 Contra</t>
  </si>
  <si>
    <t>Good Deeds</t>
  </si>
  <si>
    <t>Zir Com Deliveries: VIP special order</t>
  </si>
  <si>
    <t>Misbehave 1/2 Cargo</t>
  </si>
  <si>
    <t>Miner transport: Dragon's Egg</t>
  </si>
  <si>
    <t>Dragon's Egg, Blue Sun</t>
  </si>
  <si>
    <t>Settler transport: Muir</t>
  </si>
  <si>
    <t>Muir, Blue Sun</t>
  </si>
  <si>
    <t>Grifter +500</t>
  </si>
  <si>
    <t>War victims relief fund charter</t>
  </si>
  <si>
    <t>Boots on the ground</t>
  </si>
  <si>
    <t>6 Pass</t>
  </si>
  <si>
    <t>Cortex Relay 7 restock order</t>
  </si>
  <si>
    <t>Cortex Relay 7</t>
  </si>
  <si>
    <t>Cortex  Relay 7 service call</t>
  </si>
  <si>
    <t>Courier service: Meridian</t>
  </si>
  <si>
    <t>Winning hearts &amp; minds</t>
  </si>
  <si>
    <t>Meridian Credit Exchange heist</t>
  </si>
  <si>
    <t>Snake oil vaccinations</t>
  </si>
  <si>
    <t>Misbehave 3/2 Contra</t>
  </si>
  <si>
    <t>Reavers schmeavers</t>
  </si>
  <si>
    <t>Goods, no limit</t>
  </si>
  <si>
    <t>Non-profit profiteering</t>
  </si>
  <si>
    <t>Misbehave 3/3 Contra</t>
  </si>
  <si>
    <t>This is why you can't have nice things</t>
  </si>
  <si>
    <t>1 Goods per Crew</t>
  </si>
  <si>
    <t>Gold rush</t>
  </si>
  <si>
    <t>Stealin' steers</t>
  </si>
  <si>
    <t>Tussle/4 Contra</t>
  </si>
  <si>
    <t>Tussle</t>
  </si>
  <si>
    <t>Low down dirty dealings</t>
  </si>
  <si>
    <t>Fury, Blue Sun</t>
  </si>
  <si>
    <t>Aggressive recruitment</t>
  </si>
  <si>
    <t>New Canaan, Blue Sun</t>
  </si>
  <si>
    <t>Misbehave 2/4 Fugi</t>
  </si>
  <si>
    <t>Tussle/4 Fugi</t>
  </si>
  <si>
    <t>A stick as big as Harrow's</t>
  </si>
  <si>
    <t>Lord Harrow</t>
  </si>
  <si>
    <t>Misbehave 1/4 Contra</t>
  </si>
  <si>
    <t>Lord Harrow's private reserve</t>
  </si>
  <si>
    <t>Misbehave 1/3 Contra</t>
  </si>
  <si>
    <t>Hungry for beefsteak</t>
  </si>
  <si>
    <t>Delicate dealings</t>
  </si>
  <si>
    <t>Goods to people what need them</t>
  </si>
  <si>
    <t>Does this mean we're in business?</t>
  </si>
  <si>
    <t>A solid deal</t>
  </si>
  <si>
    <t>Warrick's request</t>
  </si>
  <si>
    <t>Sir, I'm an honest man…</t>
  </si>
  <si>
    <t>A favor for his lordship</t>
  </si>
  <si>
    <t>Offend the psychotic lowlife community</t>
  </si>
  <si>
    <t>Mercy is the mark of a great man</t>
  </si>
  <si>
    <t>Miranda's secret</t>
  </si>
  <si>
    <t>Miranda's promise</t>
  </si>
  <si>
    <t>Wheel &amp; Deal</t>
  </si>
  <si>
    <t>Shinies for Mudville</t>
  </si>
  <si>
    <t>Rely on your winning personality</t>
  </si>
  <si>
    <t>15 tons and what do you get…</t>
  </si>
  <si>
    <t>5 Cargo</t>
  </si>
  <si>
    <t>Another day older… and deeper in debt</t>
  </si>
  <si>
    <t>The Uroboros Run</t>
  </si>
  <si>
    <t>5 Contra</t>
  </si>
  <si>
    <t>Shootout</t>
  </si>
  <si>
    <t>Fun with rocks</t>
  </si>
  <si>
    <t>In your hold before midnight</t>
  </si>
  <si>
    <t>A fight before you're gutted</t>
  </si>
  <si>
    <t>Muss up the spoiled dandy</t>
  </si>
  <si>
    <t>Guess I'm just a good man</t>
  </si>
  <si>
    <t>Mr. Universe</t>
  </si>
  <si>
    <t>Up the body count</t>
  </si>
  <si>
    <t>To attempt final step</t>
  </si>
  <si>
    <t>Fight 10 or Warrant</t>
  </si>
  <si>
    <t>To the eyes &amp; ears of the 'Verse</t>
  </si>
  <si>
    <t>Talk 8 or Botch</t>
  </si>
  <si>
    <t>The very best violence</t>
  </si>
  <si>
    <t>Draw additional</t>
  </si>
  <si>
    <t>The puppet theater</t>
  </si>
  <si>
    <t>Tech 8 or Botch</t>
  </si>
  <si>
    <t>Techno kung fu</t>
  </si>
  <si>
    <t>8 Tech or Warrant</t>
  </si>
  <si>
    <t>Run the long con</t>
  </si>
  <si>
    <t>Talk 8 or Warrant</t>
  </si>
  <si>
    <t>Right in my orbit</t>
  </si>
  <si>
    <t>Bruises &amp; contusions</t>
  </si>
  <si>
    <t>Fight 7 or Botch</t>
  </si>
  <si>
    <t>Kosherized</t>
  </si>
  <si>
    <t>A wee bit naughty</t>
  </si>
  <si>
    <t>Misbehave 1</t>
  </si>
  <si>
    <t>Action on the side</t>
  </si>
  <si>
    <t>Grand theft larceny</t>
  </si>
  <si>
    <t>Play merry hob</t>
  </si>
  <si>
    <t>Cargo/M</t>
  </si>
  <si>
    <t>Contra/M</t>
  </si>
  <si>
    <t>500/M</t>
  </si>
  <si>
    <t>Do it off the grid</t>
  </si>
  <si>
    <t>Someone is talking</t>
  </si>
  <si>
    <t>With your hands tied</t>
  </si>
  <si>
    <t>Tech prohibited</t>
  </si>
  <si>
    <t>Talk prohibited</t>
  </si>
  <si>
    <t>Fight prohibited</t>
  </si>
  <si>
    <t>How weird is that?</t>
  </si>
  <si>
    <t>Gear prohibited</t>
  </si>
  <si>
    <t>Gear card</t>
  </si>
  <si>
    <t>Two by two</t>
  </si>
  <si>
    <t>Two more than I need</t>
  </si>
  <si>
    <t>Go in light</t>
  </si>
  <si>
    <t>Limits</t>
  </si>
  <si>
    <t>No more than 2 Crew</t>
  </si>
  <si>
    <t>No more than 3 Crew</t>
  </si>
  <si>
    <t>No more than 4 Crew</t>
  </si>
  <si>
    <t>Uroboros Belt, Blue Sun</t>
  </si>
  <si>
    <t>Rim</t>
  </si>
  <si>
    <t>Player to your right moves a Reaver Cutter to your Sector. Kill all Passengers &amp; Fugitives. Fight 8; 1-7 Kill 2 Crew, Evade. 8+ Kill 1 Crew Evade.</t>
  </si>
  <si>
    <t>--You must move a Reaver Ship to any Border Sector not occupied by a Firefly. --Keep Flying.</t>
  </si>
  <si>
    <t>--You must move a Reaver Ship to your current location. --Evade.</t>
  </si>
  <si>
    <t>--Player to your right must move a Reaver Ship 1 Sector within Border or Rim Space. --Keep Flying.</t>
  </si>
  <si>
    <t>Reavers Dead Ahead!</t>
  </si>
  <si>
    <t>--The player to your right must move a Reaver Ship to a Sector adjacent to your current location, not occupied by a Firefly. --Keep Flying.</t>
  </si>
  <si>
    <t>Reavers in Orbit</t>
  </si>
  <si>
    <t>--The player to your right must move a Reaver Ship to a Planetary Sector not occupied by a Firefly, in Border or Rim Space. --Keep Flying.</t>
  </si>
  <si>
    <t>Reaver Booby Trap</t>
  </si>
  <si>
    <t>Hard to Port!</t>
  </si>
  <si>
    <t>Requires Pilot: --Place Reaver Token in Sector. --Spend 1 Fuel. --Keep Flying.</t>
  </si>
  <si>
    <t>Reavers! Wong Dahn!</t>
  </si>
  <si>
    <t>--Place Reaver Token in Sector. --Full Stop.</t>
  </si>
  <si>
    <t>Left Nothin' but Ghosts…</t>
  </si>
  <si>
    <t>--Requires Mechanic: --SALVAGE OP: Load 2 Goods. --Full Stop.</t>
  </si>
  <si>
    <t>Ravaged Transport</t>
  </si>
  <si>
    <t>Abandoned Tanker</t>
  </si>
  <si>
    <t>Smells Like Reavers</t>
  </si>
  <si>
    <t>Fill 'er Up!</t>
  </si>
  <si>
    <t>--Requires Mechanic: --SALVAGE OP: Load Fuel, no limit. --Full Stop.</t>
  </si>
  <si>
    <t>Locking Horns Over Scraps</t>
  </si>
  <si>
    <t>Finagle the Lion's Share</t>
  </si>
  <si>
    <t>Winner Takes All</t>
  </si>
  <si>
    <t>Blown Out Buffer Panel</t>
  </si>
  <si>
    <t>Not to Fret</t>
  </si>
  <si>
    <t>--Spend 1 Fuel. --Keep Flying.</t>
  </si>
  <si>
    <t>Shoulda Replaced That…</t>
  </si>
  <si>
    <t>Fuel Coupling Failure</t>
  </si>
  <si>
    <t>--Breakdown: Spend 1 Part. --Keep Flying.</t>
  </si>
  <si>
    <t>She's Hemmorrhaging Fuel!</t>
  </si>
  <si>
    <t>--Keep Flying. --Discard 1 Fuel for each additional Sector you move into this turn.</t>
  </si>
  <si>
    <t>Slingshot Roundhouse</t>
  </si>
  <si>
    <t>--Requires Pilot: --If in a Planetary Sector, +3 to Ship's Range this turn. --Keep Flying.</t>
  </si>
  <si>
    <t>Steady at the Helm</t>
  </si>
  <si>
    <t>Local Tariff Patrol</t>
  </si>
  <si>
    <t>Heavy Handed Enforcement</t>
  </si>
  <si>
    <t>Fight 10; 1-9 Load no Goods. 10+ SALVAGE OP: Load 4 Goods. --Full Stop.</t>
  </si>
  <si>
    <t>Requires Mechanic: Tech 7 Breakdown; 1-6 Full Stop. 7+ Keep Flying.</t>
  </si>
  <si>
    <t>Recalibrate on the Fly</t>
  </si>
  <si>
    <t>Nav System on the Fritz</t>
  </si>
  <si>
    <t>Those Stars Look Right to You?</t>
  </si>
  <si>
    <t>--The player to your right must move your ship two Sectors. --Keep Flying.</t>
  </si>
  <si>
    <t>Objects in Space</t>
  </si>
  <si>
    <t>Not Another Mouth to Feed</t>
  </si>
  <si>
    <t>Fancy Meetin' You Here</t>
  </si>
  <si>
    <t>--If you have space in your Crew, take 1 Crew Card from any discard pile., for free. --Full Stop.</t>
  </si>
  <si>
    <t>When you have a choice of a Fight test or a Negotiate test, choose Negotiate or Disgruntle your leader.</t>
  </si>
  <si>
    <t>When you have a choice between different skill tests, choose Tech before Fight or Negotiate or Disgruntle your leader.</t>
  </si>
  <si>
    <t>Begin play with $1000 and 4 Cargo rather than $3000. Return this card to the deck.</t>
  </si>
  <si>
    <t>Cramped Quarters</t>
  </si>
  <si>
    <t>Place a Disgruntled token on 2 of your Cargo spaces. They cannot be used.</t>
  </si>
  <si>
    <t>Once per turn, if you draw two Big Black Nav cards in a row, spend 1 Fuel to avoid a Full Stop.</t>
  </si>
  <si>
    <t>Before you resolve a Nav card with BREAKDOWN, spend 1 Part to avoid a Full Stop.</t>
  </si>
  <si>
    <t>Slow Boat</t>
  </si>
  <si>
    <t>Drive Core Range is reduced by 1.</t>
  </si>
  <si>
    <t>Dandy</t>
  </si>
  <si>
    <t>Geek</t>
  </si>
  <si>
    <t>Thug</t>
  </si>
  <si>
    <t>When you have a choice of a Fight test or a Negotiate test, choose Fight or Disgruntle your leader.</t>
  </si>
  <si>
    <t>Ability</t>
  </si>
  <si>
    <t>Card</t>
  </si>
  <si>
    <t>Rim Space</t>
  </si>
  <si>
    <t>Young Bravo</t>
  </si>
  <si>
    <t>1 Fight. Will Join on Jobs if you have a Soldier on your Crew.</t>
  </si>
  <si>
    <t>Veteran</t>
  </si>
  <si>
    <t>Preacher</t>
  </si>
  <si>
    <t>Pilgrims</t>
  </si>
  <si>
    <t>Fugitive Gambler</t>
  </si>
  <si>
    <t>let's you take Shore Leave on your ship at a cost.</t>
  </si>
  <si>
    <t>Frontier Cook</t>
  </si>
  <si>
    <t>Fallen Woman</t>
  </si>
  <si>
    <t>help you pick up or deliver Cargo/Contraband faster</t>
  </si>
  <si>
    <t>Dock Workers</t>
  </si>
  <si>
    <t>Border Space</t>
  </si>
  <si>
    <t>Niska's favorite nephew: If Solid with Niska, take 1 Contraband. If not, become Solid with Niska.</t>
  </si>
  <si>
    <t>Alliance Spy: Move the Alliance Cruiser to your location.</t>
  </si>
  <si>
    <t>Becomes Disgruntled if you move into a sector with the Alliance Cruiser.</t>
  </si>
  <si>
    <t>Alliance Space</t>
  </si>
  <si>
    <t>Well-Dressed Man</t>
  </si>
  <si>
    <t>????</t>
  </si>
  <si>
    <t>Take $300.</t>
  </si>
  <si>
    <t>2 Fight; Disgruntle if used on a Test.</t>
  </si>
  <si>
    <t>Triad Member</t>
  </si>
  <si>
    <t>Groom's dead: Player to your right choses a new destination.</t>
  </si>
  <si>
    <t>Companion bonus.</t>
  </si>
  <si>
    <t>Mail-Order Bride</t>
  </si>
  <si>
    <t>When you end your turn in a planetary sector, roll a die. 1: Take $300 and discard Traveler. 2-6: Take $100.</t>
  </si>
  <si>
    <t>Traveler</t>
  </si>
  <si>
    <t>Take $400 and remove Disgruntled from one Crew.</t>
  </si>
  <si>
    <t>Take $400.</t>
  </si>
  <si>
    <t>Take $200.</t>
  </si>
  <si>
    <t>Doctor</t>
  </si>
  <si>
    <t>An old enemy: Shootout to get paid.</t>
  </si>
  <si>
    <t>Constable</t>
  </si>
  <si>
    <t>Take $200 and a Warrant.</t>
  </si>
  <si>
    <t>Anarchist</t>
  </si>
  <si>
    <t>Tussle to get paid.</t>
  </si>
  <si>
    <t xml:space="preserve">Medic bonus. </t>
  </si>
  <si>
    <t>Reaver Survivor</t>
  </si>
  <si>
    <t>Empty pockets: Cannot pay.</t>
  </si>
  <si>
    <t>Ranch Hand</t>
  </si>
  <si>
    <t>Colonist Family</t>
  </si>
  <si>
    <t>Outcome C</t>
  </si>
  <si>
    <t>Outcome B</t>
  </si>
  <si>
    <t>Outcome A</t>
  </si>
  <si>
    <t>Notes</t>
  </si>
  <si>
    <t>Drop Off</t>
  </si>
  <si>
    <t>Pick Up</t>
  </si>
  <si>
    <t>Hired Moral Crew are Disgruntled.</t>
  </si>
  <si>
    <t>Hired Crew with the Merc Profession are Disgruntled.</t>
  </si>
  <si>
    <t>Disgrunle all Mercs on your Crew.</t>
  </si>
  <si>
    <t>Disgruntle all Moral Crew.</t>
  </si>
  <si>
    <t>Welcher</t>
  </si>
  <si>
    <t>Patience's Territory</t>
  </si>
  <si>
    <t>Whenever you collect a Goal token, pay $500 and Disgruntle your Leader. If you can't pay, Disgruntle your Leader again.</t>
  </si>
  <si>
    <t>Pay $100 at the beginning of every turn. If you can't pay, Niska collects his Pound of Flesh.</t>
  </si>
  <si>
    <t>Whenever you take a Buy Action at the Space Bazaar, pay $300 or lose Solid with Amnon Duul.</t>
  </si>
  <si>
    <t>Whenever you complete a Job in the Georgia System, pay $200 or lose Solid with Patience.</t>
  </si>
  <si>
    <t>"You'll get used to him…"</t>
  </si>
  <si>
    <t>Discard when you collect a Goal Token.</t>
  </si>
  <si>
    <t>Optimal Spec</t>
  </si>
  <si>
    <t>Each currently installed Ship Upgrade reduces Drive Core Range by 1.</t>
  </si>
  <si>
    <t>Discard by taking a Work Action on a Supply Planet. Requires Mechanic or spend 1 Part.</t>
  </si>
  <si>
    <t>Discard when you complete a Job.</t>
  </si>
  <si>
    <t>Wanderer</t>
  </si>
  <si>
    <t>Take $100.</t>
  </si>
  <si>
    <t>Ready to talk: Immediately remove up to 4 Reaver Alert tokens.</t>
  </si>
  <si>
    <t>May use Fast Horses without Discarding.</t>
  </si>
  <si>
    <t>BOOM: Kill 1 Crew.</t>
  </si>
  <si>
    <t>Stay for the wedding: Counts as Shore Leave.</t>
  </si>
  <si>
    <t>Take $500.</t>
  </si>
  <si>
    <t>Travels with 2 Cargo. Disgruntle one for each Cargo sold or dumped.</t>
  </si>
  <si>
    <t>Any Supply Planet except the Space Bazaar</t>
  </si>
  <si>
    <t>Trader</t>
  </si>
  <si>
    <t>$300. If delivered with both Cargo, pick one Gear of $1000 or less from any discard pile.</t>
  </si>
  <si>
    <t>Lose $400.</t>
  </si>
  <si>
    <t>Renegade</t>
  </si>
  <si>
    <t>Deliver to Ezra to become Solid with Niska. Disgruntled all Moral Crew and take $500. Wanted.</t>
  </si>
  <si>
    <t>Shootout to get paid.</t>
  </si>
  <si>
    <t>Companion Aspirant</t>
  </si>
  <si>
    <t>Prodigy: Take $400 and may use the Companion keyword while in Alliance Space.</t>
  </si>
  <si>
    <t>Hera, Murphy.</t>
  </si>
  <si>
    <t>…or Nothing: Take $0.</t>
  </si>
  <si>
    <t>Double…: Take $600.</t>
  </si>
  <si>
    <t>Nice place to settle down: Take $300 and remove one Crew from game.</t>
  </si>
  <si>
    <t>Kid's got a wandering heart: Take $300 and hire one Crew from any discard pile for free.</t>
  </si>
  <si>
    <t>Lux, Pelorum</t>
  </si>
  <si>
    <t>Mercenaries</t>
  </si>
  <si>
    <t>Romance</t>
  </si>
  <si>
    <t>Mentor</t>
  </si>
  <si>
    <t>Rivals</t>
  </si>
  <si>
    <t>Secret</t>
  </si>
  <si>
    <t>Captain's best friend</t>
  </si>
  <si>
    <t>Cannot be hired away; Disgruntle Leader if jumps ship or killed</t>
  </si>
  <si>
    <t>Prodigy</t>
  </si>
  <si>
    <t>Requires 1 Tech (only): +1 Tech, +$100 for share.</t>
  </si>
  <si>
    <t>Military Training</t>
  </si>
  <si>
    <t>Requires 1 Fight (only): +1 Fight, +$100 for share.</t>
  </si>
  <si>
    <t>Lost Their Way</t>
  </si>
  <si>
    <t>Requires Moral. Loses Moral… ???</t>
  </si>
  <si>
    <t>On the Run</t>
  </si>
  <si>
    <t>Requires Not Wanted. Gains Wanted, reduce share by $100.</t>
  </si>
  <si>
    <t>Money Hungry</t>
  </si>
  <si>
    <t>Gains Merc</t>
  </si>
  <si>
    <t>Requires: Wanted Crew
Benefits: Hire for free. Works for free.
Drawback: Becomes Disgruntled if you enter the same Sector as the Alliance Cruiser.
Jumps Ship: If Disgruntled when you end your turn in a Planetary Sector with the Alliance Cruiser.</t>
  </si>
  <si>
    <t>Really on the Run!</t>
  </si>
  <si>
    <t>Built Her Myself…</t>
  </si>
  <si>
    <t>Requires: A Drive Core other than your starting Drive Core.
Benefits: One Drive Core costs half to purchase. Spend 1 less Part when resolving a Breakdown.
Drawback: Disgruntle if a Breakdown results in a Full Stop.
Jumps Ship: If you replace the Drive Core.</t>
  </si>
  <si>
    <t>Pacifist</t>
  </si>
  <si>
    <t>Requires: Grifter or Companion.
Benefits: Remove Disgruntled when you proceed on a Negotiate test. Reduce share by $100 for each Negotiate test performed.
Drawback: Will not participate in a Fight test. Returns to the ship if you roll for a Fight test during a Work Action.
Jumps Ship: If Disgruntled when you roll for a Fight test.</t>
  </si>
  <si>
    <t>Requires: 1 Negotiate (cannot be a Companion)
Unlock: If you hire a Companion, then +1 Neg. and +$100 crew cost. 
Jumps Ship: If a companion you've hired jumps ship.</t>
  </si>
  <si>
    <t>I feel Pretty</t>
  </si>
  <si>
    <t>Soldier version of I feel Pretty</t>
  </si>
  <si>
    <t>Requires not Moral. Gains Moral, reduice share by $100.</t>
  </si>
  <si>
    <t>Change of Heart</t>
  </si>
  <si>
    <t>Bad Blood</t>
  </si>
  <si>
    <t>Won't work Niska Jobs</t>
  </si>
  <si>
    <t>Celebrity</t>
  </si>
  <si>
    <t>Requires Fancy Duds and 3 Fight to load.</t>
  </si>
  <si>
    <t>Miners</t>
  </si>
  <si>
    <t>Motherlode</t>
  </si>
  <si>
    <t>Uroborus</t>
  </si>
  <si>
    <t>Grav-Well Maneuver</t>
  </si>
  <si>
    <t>Part 1</t>
  </si>
  <si>
    <t>Play</t>
  </si>
  <si>
    <t>Keep</t>
  </si>
  <si>
    <t>Welcome to the Party!</t>
  </si>
  <si>
    <t>Shindig</t>
  </si>
  <si>
    <t>Didn't expect an audience</t>
  </si>
  <si>
    <t>BUY: Requires FANCY DUDS. Take Shore Leave for free. SELL: Cargo for $400 each.</t>
  </si>
  <si>
    <t>Play when…</t>
  </si>
  <si>
    <t>A Rival Crew Works a Crime Job.</t>
  </si>
  <si>
    <t>Talk 8 +3 with FANCY DUDS  1-7 Job Botched. 8+ Proceed</t>
  </si>
  <si>
    <t>We Gotta Get Outta Here!</t>
  </si>
  <si>
    <t>Help us out!</t>
  </si>
  <si>
    <t>On the run</t>
  </si>
  <si>
    <t>WORK: Load 2 Fugitives. Take $500.</t>
  </si>
  <si>
    <t>A Rival ends their turn on a planet.</t>
  </si>
  <si>
    <t>Up to 2 Fugitives Jump Ship.</t>
  </si>
  <si>
    <t>Walk Away</t>
  </si>
  <si>
    <t>Got anything else?</t>
  </si>
  <si>
    <t>Cut and run</t>
  </si>
  <si>
    <t>DEAL: Discard one Job and take the top, facedown Job from the same Contact. If Niska, he collects his Pound of Flesh.</t>
  </si>
  <si>
    <t>Any time.</t>
  </si>
  <si>
    <t>A Rival must discard a Job and pay half the Pay (rounded up) or lose Solid. If Niska, he collects his Pound of Flesh.</t>
  </si>
  <si>
    <t>The Postmaster</t>
  </si>
  <si>
    <t>Local delivery</t>
  </si>
  <si>
    <t>All flights cancelled</t>
  </si>
  <si>
    <t>DEAL: Amnon Duul. WORK: Requires Solid with Amnon Duul. Take $100/Talk.</t>
  </si>
  <si>
    <t>A Rival tries to load Passengers or Fugitives when Dealing with Amnon Duul.</t>
  </si>
  <si>
    <t>The Rival cannot load Passengers or Fugitives.</t>
  </si>
  <si>
    <t>Today was a good day</t>
  </si>
  <si>
    <t>Busier than usual</t>
  </si>
  <si>
    <t>Things go smooth</t>
  </si>
  <si>
    <t>Draw two Local Color cards.</t>
  </si>
  <si>
    <t>A Rival uses a Local Color card against you.</t>
  </si>
  <si>
    <t>That card has no effect. Both cards are discarded.</t>
  </si>
  <si>
    <t>Sad little hill</t>
  </si>
  <si>
    <t>Sad little king</t>
  </si>
  <si>
    <t>A Rival Misbehaves on Persephone.</t>
  </si>
  <si>
    <t>Fight 6  1-5 Kill a Crew, Job Botched. 6+ Proceed.</t>
  </si>
  <si>
    <t>The Big Race</t>
  </si>
  <si>
    <t>Let's compete</t>
  </si>
  <si>
    <t>Losing bet</t>
  </si>
  <si>
    <t>One Rival loses $500.</t>
  </si>
  <si>
    <t>WORK: Requires Mechanic and Pilot. Take $1000. BUY: Hire 1 Pilot. SELL: Parts for $400 each.</t>
  </si>
  <si>
    <t>The Alliance Commander</t>
  </si>
  <si>
    <t>Alliance landing party</t>
  </si>
  <si>
    <t>"I know Harken, I swear!"</t>
  </si>
  <si>
    <t>DEAL: Harken. If Solid, Clear all Warrants.</t>
  </si>
  <si>
    <t>A Rival loses Solid with Harken until the current Action is over.</t>
  </si>
  <si>
    <t>Stowaway</t>
  </si>
  <si>
    <t>Hitchhiker</t>
  </si>
  <si>
    <t>Troublemaker</t>
  </si>
  <si>
    <t>Load 1 Fugitive. BUY: Hire 1 Wanted Crew at no cost. Discard 1 Fugitive.</t>
  </si>
  <si>
    <t>A Rival begins an Action on a Border Planet.</t>
  </si>
  <si>
    <t>Tech 6  1-3 Lose 2 Parts. 6+ Load 1 Fugitive.</t>
  </si>
  <si>
    <t>Spaceship Expo</t>
  </si>
  <si>
    <t>Taking flight</t>
  </si>
  <si>
    <t>Back tomorrow</t>
  </si>
  <si>
    <t>WORK: $200+$200/Pilot. BUY: Requires Pilot. Buy 1 Ship Upgrade.</t>
  </si>
  <si>
    <t>A Rival takes a Buy Action.</t>
  </si>
  <si>
    <t>The Rival cannot consider or purchase Ship Upgrades.</t>
  </si>
  <si>
    <t>Spaceship Boneyard</t>
  </si>
  <si>
    <t>Pick the bones clean</t>
  </si>
  <si>
    <t>Vultures and leeches</t>
  </si>
  <si>
    <t>Tech 8 SALVAGE OP  1-7: Load 2 Parts. 8+ Take 1 Ship Upgrade from any Discard pile.</t>
  </si>
  <si>
    <t>A Rival ends their turn on a Border planet.</t>
  </si>
  <si>
    <t>The Rival loses half their Parts and Fuel (round down).</t>
  </si>
  <si>
    <t>Slavers</t>
  </si>
  <si>
    <t>Auction in progress</t>
  </si>
  <si>
    <t>While you were gone</t>
  </si>
  <si>
    <t>A Rival completes a Job on a Border Planet.</t>
  </si>
  <si>
    <t>Fight 6  1-5 Lose all Passengers/Fugitives. 6+ Proceed.</t>
  </si>
  <si>
    <t>Reaver Aftermath</t>
  </si>
  <si>
    <t>Survivors</t>
  </si>
  <si>
    <t>All manner of creepifying</t>
  </si>
  <si>
    <t>WORK: Load up to 4 Passengers. Take $200 per Passenger or take no money and remove Disgruntled from all Moral Crew.</t>
  </si>
  <si>
    <t>A Rival begins their turn on a Border planet.</t>
  </si>
  <si>
    <t>Non-Ruthless Crew are Disgruntled.</t>
  </si>
  <si>
    <t>Range War</t>
  </si>
  <si>
    <t>This fight drew a crowd</t>
  </si>
  <si>
    <t>A better offer</t>
  </si>
  <si>
    <t>Pay each Merc an extra Cut now or discard them.</t>
  </si>
  <si>
    <t>Mislabeled Merchandise</t>
  </si>
  <si>
    <t>Check the manifest again</t>
  </si>
  <si>
    <t>Hope you didn't need that…</t>
  </si>
  <si>
    <t>WORK: Change up to 3 Cargo to Contraband or up to 3 Contraband to Cargo. BUY: Up to 3 Cargo for $400 each.</t>
  </si>
  <si>
    <t>Pick a Rival. Change up to 2 of their Cargo to Contraband or up to 2 of their Contraband to Cargo.</t>
  </si>
  <si>
    <t>Mahjong Madness!</t>
  </si>
  <si>
    <t>Get the party started</t>
  </si>
  <si>
    <t>To good to pass up</t>
  </si>
  <si>
    <t>WORK: $300+$200/Grifter.</t>
  </si>
  <si>
    <t>A Rival with a Grifter Works a Job.</t>
  </si>
  <si>
    <t>One Grifter cannot Work the Job.</t>
  </si>
  <si>
    <t>Lone Bounty Hunter</t>
  </si>
  <si>
    <t>Marketplace ambush</t>
  </si>
  <si>
    <t>Providing backup</t>
  </si>
  <si>
    <t>A Rival with Wanted Crew takes a Buy Action.</t>
  </si>
  <si>
    <t>Fight 6  1-5 Player selects a Crew with Wanted to remove from Play. 6+ Proceed.</t>
  </si>
  <si>
    <t>Locked Down</t>
  </si>
  <si>
    <t>Since we're stuck here…</t>
  </si>
  <si>
    <t>Temporary landlock</t>
  </si>
  <si>
    <t>BUY: Hire 1 Crew without Wanted. SELL: Contraband for $300 each.</t>
  </si>
  <si>
    <t>A Rival tries to take a Fly Action.</t>
  </si>
  <si>
    <t>The Rival cannot take a Fly Action.</t>
  </si>
  <si>
    <t>Local Festival</t>
  </si>
  <si>
    <t>Day off</t>
  </si>
  <si>
    <t>Can we go? Please?</t>
  </si>
  <si>
    <t>BUY: Take Shore Leave at no cost. SELL: Cargo for $300 each.</t>
  </si>
  <si>
    <t>A Rival begins a turn on a non-Supply planet.</t>
  </si>
  <si>
    <t>Take Shore Leave or Moral Crew are Disgruntled.</t>
  </si>
  <si>
    <t>Last Season's Big Bad is Back</t>
  </si>
  <si>
    <t>Grudge match</t>
  </si>
  <si>
    <t>Yet another obstacle</t>
  </si>
  <si>
    <t>A Rival Works a Job.</t>
  </si>
  <si>
    <t>Fight 7  1-6: Disgruntle the Leader. Job Botched. 7+ Proceed.</t>
  </si>
  <si>
    <t>Fight 7  1-6 Kill 1 Crew, Disgruntle your Leader. 7+ Remove Disgruntled from all Crew. Take 2 Cargo.</t>
  </si>
  <si>
    <t>Kidnappers</t>
  </si>
  <si>
    <t>Help the locals</t>
  </si>
  <si>
    <t>A Rival is in a sector with a planet.</t>
  </si>
  <si>
    <t>Crew-napped!</t>
  </si>
  <si>
    <t>I Love This Bar</t>
  </si>
  <si>
    <t>Heard the stories</t>
  </si>
  <si>
    <t>That escalated quickly</t>
  </si>
  <si>
    <t>BUY: Take Shore Leave. Only pay for Disgruntled Crew. SELL: Contraband for $400 each.</t>
  </si>
  <si>
    <t>A Rival tries to take Shore Leave.</t>
  </si>
  <si>
    <t>Fight 6 Kosherized Rules. 1-5 Disgruntle 1 Crew. Warrant Issued. May not take Shore Leave. 6+ Proceed.</t>
  </si>
  <si>
    <t>Ghost Town</t>
  </si>
  <si>
    <t>Damaging my calm</t>
  </si>
  <si>
    <t>Is  this the right place?</t>
  </si>
  <si>
    <t>Roll for each Crew. On a 1-2, Disgruntle that Crew. BUY: 1 or 2 Gear worth up to $800 total for free. WORK: Load 1 Contraband for every 2 Crew.</t>
  </si>
  <si>
    <t>A Rival tries to deliver for a Job.</t>
  </si>
  <si>
    <t>The Rival cannot deliver this turn.</t>
  </si>
  <si>
    <t>Fuel Shortage</t>
  </si>
  <si>
    <t>Supply…</t>
  </si>
  <si>
    <t>…and demand</t>
  </si>
  <si>
    <t>SELL: Fuel for $200 each.</t>
  </si>
  <si>
    <t>The Rival cannot purchase Fuel or Parts.</t>
  </si>
  <si>
    <t>Crime Lord on the Rise</t>
  </si>
  <si>
    <t>Local interference</t>
  </si>
  <si>
    <t>Shake down the competition</t>
  </si>
  <si>
    <t>WORK: Fight 8  1-7 Warrant Issued. 8+ Take $500+$200/Merc. SELL: 2 Contraband for $500 each.</t>
  </si>
  <si>
    <t>A Rival Misbehaves on a Border planet.</t>
  </si>
  <si>
    <t>Add a Misbehave card.</t>
  </si>
  <si>
    <t>Companion Business</t>
  </si>
  <si>
    <t>Fancy client</t>
  </si>
  <si>
    <t>High-priority client</t>
  </si>
  <si>
    <t>Requires Companion. WORK: Take $600. BUY: Buy 1 FANCY DUDS at half-price (round up).</t>
  </si>
  <si>
    <t>A Rival with a Companion Works a Job.</t>
  </si>
  <si>
    <t>One Companion cannot Work the Job.</t>
  </si>
  <si>
    <t>Branch Office</t>
  </si>
  <si>
    <t>On vacation</t>
  </si>
  <si>
    <t>Local job</t>
  </si>
  <si>
    <t>Requires Solid with a Contact. DEAL: One Solid Contact. WORK: Take $500 as make-work.</t>
  </si>
  <si>
    <t>A Rival tries to Deal with a Contact with whom you are Solid.</t>
  </si>
  <si>
    <t>The Rival cannot take a Deal Action.</t>
  </si>
  <si>
    <t>An Unexpected Surprise</t>
  </si>
  <si>
    <t>Not what we expected</t>
  </si>
  <si>
    <t>Not what they expected</t>
  </si>
  <si>
    <t>Pick one active or inactive Job to become Immoral. Pay increases $500. If you discard the Job, lose Solid with the Contact and remove Disgruntled from Moral Crew.</t>
  </si>
  <si>
    <t>A Rival must pick one of their Jobs to become Immoral.</t>
  </si>
  <si>
    <t>Old Friend of the Captain's</t>
  </si>
  <si>
    <t>What are you doing here?</t>
  </si>
  <si>
    <t>But you're the competition</t>
  </si>
  <si>
    <t>BUY: Hire 1 Crew.</t>
  </si>
  <si>
    <t>A Rival hires a Crew.</t>
  </si>
  <si>
    <t>The Rival pays an additional $300 for one Crew of your choice. The Crew starts Disgruntled.</t>
  </si>
  <si>
    <t>The Queen of Cattle</t>
  </si>
  <si>
    <t>If Solid with Patience, take 1 Cargo.</t>
  </si>
  <si>
    <t>Whiskey for my men</t>
  </si>
  <si>
    <t>Beer for my horses</t>
  </si>
  <si>
    <t>A Rival must dump 2 Cargo or Contraband or lose Solid with Patience.</t>
  </si>
  <si>
    <t>The Old Man</t>
  </si>
  <si>
    <t>Talk 7 +3 if Solid with Niska  1-6 Kill a Crew. 7+ Take 1 Contraband.</t>
  </si>
  <si>
    <t>You will send a message, yes?</t>
  </si>
  <si>
    <t>Not so solid</t>
  </si>
  <si>
    <t>DEAL: Niska. WORK: Requires Solid with Niska and EXPLOSIVES. Take $200/Fight.</t>
  </si>
  <si>
    <t>A Rival Botches a Job while Working for Niska.</t>
  </si>
  <si>
    <t>Niska collects his Pound of Flesh.</t>
  </si>
  <si>
    <t>Reaver Ambush</t>
  </si>
  <si>
    <t>Come with us!</t>
  </si>
  <si>
    <t>Good luck…</t>
  </si>
  <si>
    <t>Fight 7 +2 with TRANSPORT  1-3 Kill 2 Crew. 4-6 Kill 1 Crew. 7+ Proceed.</t>
  </si>
  <si>
    <t>The Rival must resolve a Reaver Contact Event.</t>
  </si>
  <si>
    <t>Petty Warlord</t>
  </si>
  <si>
    <t>Martial Law</t>
  </si>
  <si>
    <t>Fight 6  1-5 Kill a Crew. 6+ Proceed.</t>
  </si>
  <si>
    <t>We're all friends now!</t>
  </si>
  <si>
    <t>Not on my world!</t>
  </si>
  <si>
    <t>Remove Disgruntled from all Crew. BUY: 3 Contraband for $300 each.</t>
  </si>
  <si>
    <t>A Rival Misbehaves for a Job.</t>
  </si>
  <si>
    <t>The Rival has a -2 penalty on all skill tests for the Job.</t>
  </si>
  <si>
    <t>Lost Contraband and Fugitives not in Stash.</t>
  </si>
  <si>
    <t>That makes this easy</t>
  </si>
  <si>
    <t>Law dogs</t>
  </si>
  <si>
    <t>SELL: Contraband for $500 each.</t>
  </si>
  <si>
    <t>The Rival cannot consider or hire Wanted Crew.</t>
  </si>
  <si>
    <t>Military Conscription</t>
  </si>
  <si>
    <t>Talk 10+ Bribes  1-9 Discard all Soldiers. 10+ Proceed.</t>
  </si>
  <si>
    <t>Train the troops</t>
  </si>
  <si>
    <t>In the army now</t>
  </si>
  <si>
    <t>WORK: $200+$200/Soldier. BUY: Requires Soldier. Buy 1 FIREARM.</t>
  </si>
  <si>
    <t>The Rival cannot use Soldiers for the Job.</t>
  </si>
  <si>
    <t>A Rival Misbehaves for a Job on an Alliance planet.</t>
  </si>
  <si>
    <t>It's a Trap!</t>
  </si>
  <si>
    <t>Tech 7  1-6 Roll for each Wanted Crew. 7+ Proceed.</t>
  </si>
  <si>
    <t>What's he doing here?</t>
  </si>
  <si>
    <t>We've been set up</t>
  </si>
  <si>
    <t>DEAL: Harken. WORK: Requires Solid with Harken and TRANSPORT. Load 3 Cargo.</t>
  </si>
  <si>
    <t>The Rival Crew must resolve an Alliance Contact Event.</t>
  </si>
  <si>
    <t>Epidemic</t>
  </si>
  <si>
    <t>Tech 6 +3 with Medic  1-2 Kill 2 Crew. 3-5 Kill 1 Crew. 6+ Proceed.</t>
  </si>
  <si>
    <t>We can help</t>
  </si>
  <si>
    <t>Closed due to outbreak</t>
  </si>
  <si>
    <t>WORK: $400/Medic. SELL: 2 Cargo for $600 each.</t>
  </si>
  <si>
    <t>A Rival tries to take a Buy Action.</t>
  </si>
  <si>
    <t>The Rival cannot take a Buy Action.</t>
  </si>
  <si>
    <t>Betrayal</t>
  </si>
  <si>
    <t>Roll for each Disgruntled Crew except the Leader. On a 1, the Crew Jumps Ship.</t>
  </si>
  <si>
    <t>Now, that's inconvenient</t>
  </si>
  <si>
    <t>BUY: 1 Disgruntled Crew from a Rival for twice the hiring fee, or at least $300.</t>
  </si>
  <si>
    <t>A Rival must pick one of their Crew to Jump Ship.</t>
  </si>
  <si>
    <t>Alliance Crackdown</t>
  </si>
  <si>
    <t>Talk 10+ Bribes  1-9 Roll for each Wanted Crew. 10+ Proceed.</t>
  </si>
  <si>
    <t>DEAL: Harken.</t>
  </si>
  <si>
    <t>Maybe we can deal…</t>
  </si>
  <si>
    <t>Somebody tipped 'em off</t>
  </si>
  <si>
    <t>A Rival begins an Illegal Job in Alliance Space.</t>
  </si>
  <si>
    <t>Roll for each Wanted Crew.</t>
  </si>
  <si>
    <t>Improvised Hacking Rig</t>
  </si>
  <si>
    <t>Burgess's Hovering Bad-Ass Space Jeep</t>
  </si>
  <si>
    <t>Amnon Duul</t>
  </si>
  <si>
    <t>Baubles for the ball</t>
  </si>
  <si>
    <t>Pilfer, purloin and plunder</t>
  </si>
  <si>
    <t>Everything That's Not Nailed Down</t>
  </si>
  <si>
    <t>Cruiser Patrol</t>
  </si>
  <si>
    <r>
      <t xml:space="preserve">WORK: </t>
    </r>
    <r>
      <rPr>
        <sz val="8"/>
        <color theme="9" tint="-0.249977111117893"/>
        <rFont val="Calibri"/>
        <family val="2"/>
        <scheme val="minor"/>
      </rPr>
      <t>Fight 8  1-7 Disgruntle all Moral Crew. 8+ Take 3 Cargo.</t>
    </r>
  </si>
  <si>
    <r>
      <t xml:space="preserve">The Rival removes 1 Crew from their ship. </t>
    </r>
    <r>
      <rPr>
        <sz val="8"/>
        <color theme="9" tint="-0.249977111117893"/>
        <rFont val="Calibri"/>
        <family val="2"/>
        <scheme val="minor"/>
      </rPr>
      <t>Fight 6  1-5 Remove Crew from Play. 6+ Crew is Rescued.</t>
    </r>
  </si>
  <si>
    <r>
      <t xml:space="preserve">BUY: 1 FIREARM for $200 less. WORK: </t>
    </r>
    <r>
      <rPr>
        <sz val="8"/>
        <color theme="9" tint="-0.249977111117893"/>
        <rFont val="Calibri"/>
        <family val="2"/>
        <scheme val="minor"/>
      </rPr>
      <t>Fight 9  1-8 Kill a Crew. 9+ Take $200/Soldier or Merc.</t>
    </r>
  </si>
  <si>
    <r>
      <t xml:space="preserve">WORK: </t>
    </r>
    <r>
      <rPr>
        <sz val="8"/>
        <color theme="9" tint="-0.249977111117893"/>
        <rFont val="Calibri"/>
        <family val="2"/>
        <scheme val="minor"/>
      </rPr>
      <t>Fight 8  1-7: Kill a Crew. 8+ Take $400+$100/Merc.</t>
    </r>
    <r>
      <rPr>
        <sz val="8"/>
        <color theme="1"/>
        <rFont val="Calibri"/>
        <family val="2"/>
        <scheme val="minor"/>
      </rPr>
      <t xml:space="preserve"> BUY: Hire up to 2 Mercs.</t>
    </r>
  </si>
  <si>
    <r>
      <t xml:space="preserve">WORK: </t>
    </r>
    <r>
      <rPr>
        <sz val="8"/>
        <color theme="9" tint="-0.249977111117893"/>
        <rFont val="Calibri"/>
        <family val="2"/>
        <scheme val="minor"/>
      </rPr>
      <t>Fight 7  1-6 Kill a Crew. 7+ Load 2 Fugitives or Passengers.</t>
    </r>
    <r>
      <rPr>
        <sz val="8"/>
        <color theme="1"/>
        <rFont val="Calibri"/>
        <family val="2"/>
        <scheme val="minor"/>
      </rPr>
      <t xml:space="preserve"> BUY: Fugitives/Passengers for $400 each.</t>
    </r>
  </si>
  <si>
    <r>
      <t xml:space="preserve">DEAL: Patience. If Solid, remove Disgruntled from all Crew. WORK: </t>
    </r>
    <r>
      <rPr>
        <sz val="8"/>
        <color rgb="FF00B050"/>
        <rFont val="Calibri"/>
        <family val="2"/>
        <scheme val="minor"/>
      </rPr>
      <t>Talk 8  1-7 Warrant Issued. 8+ Take 2 Cargo.</t>
    </r>
  </si>
  <si>
    <t>Reporter</t>
  </si>
  <si>
    <t>Miranda, Blue Sun</t>
  </si>
  <si>
    <t>Researcher</t>
  </si>
  <si>
    <t>Technician</t>
  </si>
  <si>
    <t>Boros,</t>
  </si>
  <si>
    <t>Black Market</t>
  </si>
  <si>
    <t>Stalker: Tussle to get paid.</t>
  </si>
  <si>
    <t>May Carry up to 2 Gear when Flying. Moral.</t>
  </si>
  <si>
    <t>1 Talk. Moral.</t>
  </si>
  <si>
    <t>Outlaw = Disgruntle if used on Legal Job</t>
  </si>
  <si>
    <t>Citizen = Disgruntle if Used on Illegal Job</t>
  </si>
  <si>
    <t>Medic. Citizen.</t>
  </si>
  <si>
    <t>1 Tech. Explosives. Outlaw. Wanted.</t>
  </si>
  <si>
    <t>Grifter. Disgruntle if used on a Job.</t>
  </si>
  <si>
    <t>Grifter. Fancy Duds. Outlaw. Wanted.</t>
  </si>
  <si>
    <t>Medic. Moral.</t>
  </si>
  <si>
    <t>Grifter. Citizen.</t>
  </si>
  <si>
    <t>A Star in White Sun: Take $500 or gain Solid with Harken.</t>
  </si>
  <si>
    <t>Hanging up my iron: Take one Gear with the Firearm keyword and a value of $800 or less for free.</t>
  </si>
  <si>
    <t>Requires no Warrants to Load. 1 Fight. Citizen. Moral.</t>
  </si>
  <si>
    <t>Public Relations: May Carry 3 Gear. * Big Damn Heroes: When you Proceed while Misbehaving, take $100.</t>
  </si>
  <si>
    <t>Brown Coat: When you complete a Crime Job, take $500. * Big Damn Heroes: When you Proceed while Misbehaving, take $100.</t>
  </si>
  <si>
    <t>Hard Burn: +1 to Full Burn Range. * Big Damn Heroes: When you Proceed while Misbehaving, take $100.</t>
  </si>
  <si>
    <t>Mal's Pretty Floral Bonnet</t>
  </si>
  <si>
    <t>Crew carrying Bonnet ignores Wanted Crew Rolls. Does not count towards Gear Limit.</t>
  </si>
  <si>
    <t>Wash's Lucky Dinosaurs</t>
  </si>
  <si>
    <t>When Flying, re-roll any Test result of 1. Does not count towards Gear Limit.</t>
  </si>
  <si>
    <t>MORAL</t>
  </si>
  <si>
    <t>WANTED</t>
  </si>
  <si>
    <t>May Carry up to 2 Gear when Flying. Fight prohibited. Moral.</t>
  </si>
  <si>
    <t>Vow of Poverty: Cannot pay.</t>
  </si>
  <si>
    <t>Take $300 or remove Disgruntled from all Moral Crew.</t>
  </si>
  <si>
    <t>Take $300 and remove Disgruntled from all Moral Crew.</t>
  </si>
  <si>
    <t>May take Shore Leave on any Border or Rim Planet. Moral.</t>
  </si>
  <si>
    <t>x</t>
  </si>
  <si>
    <t>Reaver Armada! Place 3 Reaver tokens in each sector or Reaver Space.</t>
  </si>
  <si>
    <t>Story of a lifetime: Take $200, and return the Reporter to Londinium to take $500.</t>
  </si>
  <si>
    <t>Reavers! Move a Reaver Cutter to Miranda.</t>
  </si>
  <si>
    <t>Valuable research: Take $300, and return the Researcher to Londinium to take $500.</t>
  </si>
  <si>
    <t>+3 to Ship's Max Crew.</t>
  </si>
  <si>
    <t>Tech 7; 1-6 Attempt Botched. 7+ Take 1500. Attempt Botched.</t>
  </si>
  <si>
    <t>Patience likes: Take $200 and Deal with Patience.</t>
  </si>
  <si>
    <t>Xunsu Emergency Ram Jets</t>
  </si>
  <si>
    <t>Discard and use an Action to Initiate a Full Burn. May be used in addition to a standard Move Action.</t>
  </si>
  <si>
    <t>Decoy Nav Sat Cluster</t>
  </si>
  <si>
    <t>Loyalty: Soldiers in your Crew do not become Disgruntled if they are not paid their Cut of successful Jobs. May Carry 2 Gear.</t>
  </si>
  <si>
    <t>Range: 5. 1 Fuel to initiate Full Burn. When initiating a Full Burn, Spend 1 additional Fuel to increase your Max Range by 2 this turn.</t>
  </si>
  <si>
    <t>Caravan Pods</t>
  </si>
  <si>
    <t>Full Mess Deck</t>
  </si>
  <si>
    <t>During a Fly Action, you may discard a Cargo or Contraband to remove Disgruntled from all your Crew.</t>
  </si>
  <si>
    <t>Courting Aphrodite</t>
  </si>
  <si>
    <t>Infiltrate the trade ministry</t>
  </si>
  <si>
    <t>Foodstuffs for the downtrodden</t>
  </si>
  <si>
    <t>RUTHLESS</t>
  </si>
  <si>
    <t>Skills</t>
  </si>
  <si>
    <t>Profession</t>
  </si>
  <si>
    <t>Fight 2?</t>
  </si>
  <si>
    <t>Superstar?</t>
  </si>
  <si>
    <t>Magistrate Higgins</t>
  </si>
  <si>
    <t>Beaumonde</t>
  </si>
  <si>
    <t>Mudder</t>
  </si>
  <si>
    <t>Indentured: Remove from Play at Harvest, Red Sun to take $500. This counts as Immoral.</t>
  </si>
  <si>
    <t>Board Game Collection</t>
  </si>
  <si>
    <t>You may use a Buy Action to give your Crew Shore Leave in any Sector.</t>
  </si>
  <si>
    <t>Inara's Bow</t>
  </si>
  <si>
    <t>Jayne's Holdout Pistol</t>
  </si>
  <si>
    <t>Dirty Slaver: Whenever you deliver Fugitives, you may take an extra $100 per Fugitive. Ths counts as Immoral.</t>
  </si>
  <si>
    <t>Zoe's Mare's Leg Rifle</t>
  </si>
  <si>
    <t>Mal's Sniper Rifle</t>
  </si>
  <si>
    <t>Billiards Betting</t>
  </si>
  <si>
    <t>Labor Contract: Persephone</t>
  </si>
  <si>
    <t>Labor Contract: Silverhold</t>
  </si>
  <si>
    <t>Labor Contract: Space Bazaar</t>
  </si>
  <si>
    <t>Labor Contract: Regina</t>
  </si>
  <si>
    <t>Zoe's Flak Jacket</t>
  </si>
  <si>
    <t>Extra Ammo Clips</t>
  </si>
  <si>
    <t>Emissions Recycler</t>
  </si>
  <si>
    <t>+1 to Full Burn Range. If you draw two "Big Black" Nav Cards in a row while Full Burning, you may take 1 Fuel. Limit once per Fly Action.</t>
  </si>
  <si>
    <t>Wash's Nav Charts</t>
  </si>
  <si>
    <t>Med Foam</t>
  </si>
  <si>
    <t>Discard to count as having made a successful Medic Check.</t>
  </si>
  <si>
    <t>Inara's Guild Papers</t>
  </si>
  <si>
    <t>Hydraulic Docking Clamps</t>
  </si>
  <si>
    <t>Crime Jobs also count as Salvage Ops.</t>
  </si>
  <si>
    <t>Nav Charts: Rim Space</t>
  </si>
  <si>
    <t>Nav Charts: Alliance Space</t>
  </si>
  <si>
    <t>Yolonda's Pistol</t>
  </si>
  <si>
    <t>Barkeep</t>
  </si>
  <si>
    <t>Nav Charts: Border Space</t>
  </si>
  <si>
    <t>Wash's Hawaiian Shirt</t>
  </si>
  <si>
    <t>Discard to reshuffle any 1 Nav Deck.</t>
  </si>
  <si>
    <t>Holder</t>
  </si>
  <si>
    <t>Fan Dancer</t>
  </si>
  <si>
    <t>Busker</t>
  </si>
  <si>
    <t>Roberta</t>
  </si>
  <si>
    <t>Foreman</t>
  </si>
  <si>
    <t>Grimey</t>
  </si>
  <si>
    <t>Discard to re-roll a [FIGHTING] Test.</t>
  </si>
  <si>
    <t>Good Times: Giving your Crew Shore Leave at Supply Planets is free.</t>
  </si>
  <si>
    <t>Discard to look at the top 5 Cards of the Rim Space Nav Deck. Return the cards to the top of the Deck in any order.</t>
  </si>
  <si>
    <t>Fess</t>
  </si>
  <si>
    <t>Shanghai: When you Make-Work, you may also take a Fugitive Token.</t>
  </si>
  <si>
    <t>Work the Crowd: When you Make-Work, take an extra $100.</t>
  </si>
  <si>
    <t>When carried by a Companion, re-roll 1s in all [FIGHTING] Tests.</t>
  </si>
  <si>
    <t>From any location, you may use a Buy Action to Hire 1 Crew from the Persephone Discard Pile for free.</t>
  </si>
  <si>
    <t>From any location, you may use a Buy Action to Hire 1 Crew from the Regina Discard Pile for free.</t>
  </si>
  <si>
    <t>From any location, you may use a Buy Action to Hire 1 Crew from the Silverhold Discard Pile for free.</t>
  </si>
  <si>
    <t>From any location, you may use a Buy Action to Hire 1 Crew from the Space Bazaar Discard Pile for free.</t>
  </si>
  <si>
    <t>Before each [FIGHTING] Test, remove Disgruntled from the Owner.</t>
  </si>
  <si>
    <t xml:space="preserve">When making a [FIGHTING] Test, roll two dice and use the highest. </t>
  </si>
  <si>
    <t>Make Nice: You May Discard Roberta instead of losing Solid Rep with a Contact.</t>
  </si>
  <si>
    <t>Outbound Colonists</t>
  </si>
  <si>
    <t>We'll Help Out with That</t>
  </si>
  <si>
    <t>--You may sell up to 3 Parts for $500 per Part. --Keep Flying.</t>
  </si>
  <si>
    <t>We'll Just Help Ourselves</t>
  </si>
  <si>
    <t>--Moral Crew become Disgruntled. --Fight 6  1-5 Kill 1 Crew. Full Stop.  6+ Load 2 Cargo. Full Stop.</t>
  </si>
  <si>
    <t>Fire in the Engine Room</t>
  </si>
  <si>
    <t>All Hands on Deck!</t>
  </si>
  <si>
    <t>--Tech 8  1-7 Kill 2 Crew.  8+ Whew… Fire's Out. --Full Stop.</t>
  </si>
  <si>
    <t>Decompress the Hold!</t>
  </si>
  <si>
    <t>Regulated Salvage</t>
  </si>
  <si>
    <t>Broken Down Shuttle</t>
  </si>
  <si>
    <t>By Hook or By Crook</t>
  </si>
  <si>
    <t>More Trouble Than it's Worth</t>
  </si>
  <si>
    <t>We Got Room for Two More</t>
  </si>
  <si>
    <t>--Load exactly 2 Passengers. --Take $400. --Full Stop.</t>
  </si>
  <si>
    <t>Sorry Pal, We're Full Up</t>
  </si>
  <si>
    <t>Leave No Ground To Go To</t>
  </si>
  <si>
    <t>--Player to your right must move Operative's Corvette to an unoccupied Alliance, Border, or Rim Planetary Sector. -- Keep Flying.</t>
  </si>
  <si>
    <t>Passenger Unrest</t>
  </si>
  <si>
    <t>Keep it Quiet Down There!</t>
  </si>
  <si>
    <t>Requires Soldier: --Keep Flying.</t>
  </si>
  <si>
    <t>Fisticuffs in the Hold!</t>
  </si>
  <si>
    <t>--Roll a Dice: If your roll is lower than the total of Passenger and Fugitive Tokens on your ship, discard a number equal to your roll. --Keep Flying.</t>
  </si>
  <si>
    <t>Alliance Interrogation</t>
  </si>
  <si>
    <t>Badger's Boys</t>
  </si>
  <si>
    <t>Alliance Harrassment</t>
  </si>
  <si>
    <t>Detained for Questioning</t>
  </si>
  <si>
    <t>Requires Discarding 1 Crew: --Keep Flying.</t>
  </si>
  <si>
    <t>Charm… and Sidearms</t>
  </si>
  <si>
    <t>You Know We're Good for It</t>
  </si>
  <si>
    <t>Requires Solid with Badger: --Keep Flying.</t>
  </si>
  <si>
    <t>The Repo Man Cometh</t>
  </si>
  <si>
    <t>--Place an Alliance Alert Token in all Sectors adjacent to your current Sector. --Keep Flying.</t>
  </si>
  <si>
    <t>He'll Come at You Sideways</t>
  </si>
  <si>
    <t>--Player to your right must move Operative's Corvette to an unoccupied Alliance, Border, or Rim Sector adjacent to your current location. --Keep Flying.</t>
  </si>
  <si>
    <t>Alliance Checkpoint</t>
  </si>
  <si>
    <t>Everything's in Order</t>
  </si>
  <si>
    <t>Requires Solid Rep with Harken: --Keep Flying.</t>
  </si>
  <si>
    <t>Bluff Your Way Through</t>
  </si>
  <si>
    <t>Persistent Pursuit</t>
  </si>
  <si>
    <t>--Place an Alliance Alert Token in every Sector occupied by an Outlaw Ship. --Keep Flying.</t>
  </si>
  <si>
    <t>An Adrift Transport</t>
  </si>
  <si>
    <t>Space Pox!</t>
  </si>
  <si>
    <t>Patience's Posse</t>
  </si>
  <si>
    <t>Their Hull's Breached!</t>
  </si>
  <si>
    <t>Requires Loading 4 Fugitives: --Salvage Op: --Full Stop.</t>
  </si>
  <si>
    <t>Not My Problem…</t>
  </si>
  <si>
    <t>--Disgruntle all Moral Crew. --Keep Flying.</t>
  </si>
  <si>
    <t>Shot a This Oughta Do Ya</t>
  </si>
  <si>
    <t>Requires Medic: --Keep Flying.</t>
  </si>
  <si>
    <t>Outbreak!</t>
  </si>
  <si>
    <t>--Roll a Dice: If your roll is lower than the total of Passenger and Fugitive tokens on your ship, discard a number equal to your roll. --Keep Flying.</t>
  </si>
  <si>
    <t>We Got a History…</t>
  </si>
  <si>
    <t>Requires Solid with Patience: --Keep Flying.</t>
  </si>
  <si>
    <t>Shanghai Surprise!</t>
  </si>
  <si>
    <t>Dangerous Salvage</t>
  </si>
  <si>
    <t>Ain't Got the Chops</t>
  </si>
  <si>
    <t>Hollowed Out Space-Liner</t>
  </si>
  <si>
    <t>She's Tore Up Plenty</t>
  </si>
  <si>
    <t>Still Some Good Stuff Here</t>
  </si>
  <si>
    <t>Requires Mechanic: Salvage Op: --Load up to 6 parts. --Full Stop.</t>
  </si>
  <si>
    <t>Nothin' We Can Do With That</t>
  </si>
  <si>
    <t>But She'll Fly True</t>
  </si>
  <si>
    <t>Could Be Bumpy</t>
  </si>
  <si>
    <t>Pass Through Soon Enough</t>
  </si>
  <si>
    <t>Requires Pilot: --Tech 7 Breakdown  1-6 Kill a Crew. Keep Flying.  7+ Keep Flying.</t>
  </si>
  <si>
    <t>--Tech 7 Breakdown  1-6 Discard 2 Fuel. Full Stop.  7+ Keep Flying.</t>
  </si>
  <si>
    <t>Orphaned Cargo Pod</t>
  </si>
  <si>
    <t>First-Come, First-Serve</t>
  </si>
  <si>
    <t>No Time for Good Ideas</t>
  </si>
  <si>
    <t>Give it a Good Home</t>
  </si>
  <si>
    <t>Dine &amp; Dash</t>
  </si>
  <si>
    <t>--Load 1 Goods. --Keep Flying.</t>
  </si>
  <si>
    <t>Clean Your Plate</t>
  </si>
  <si>
    <t>Fly-By-Night Casino Ship</t>
  </si>
  <si>
    <t>First Rule of Flying</t>
  </si>
  <si>
    <t>Lead Us Not into Temptation</t>
  </si>
  <si>
    <t>Requires 1 or more Moral Crew: --Keep Flying.</t>
  </si>
  <si>
    <t>Make Your Own Luck</t>
  </si>
  <si>
    <t>--Pay up to $1000. Draw 5 Misbehave Cards. If 3 or more of the cards have matching Suits, take triple the amount you paid. --Full Stop.</t>
  </si>
  <si>
    <t>Love Keeps Her in the Air</t>
  </si>
  <si>
    <t>Requires 1 or more Moral Crew: --Add 1 to the Range of this Fly Action for each Moral Crew on board. --Keep Flying.</t>
  </si>
  <si>
    <t>When She Oughta Fall Down</t>
  </si>
  <si>
    <t>Breakdown: --Spend 1 Part to Keep Flying. Otherwise, Full Stop.</t>
  </si>
  <si>
    <t>Horowitz's Trading Scow</t>
  </si>
  <si>
    <t>Bits O' Junk Can Wait</t>
  </si>
  <si>
    <t>The Barter System</t>
  </si>
  <si>
    <t>Damaged Spy Satellite</t>
  </si>
  <si>
    <t>Niska's Ne'er-Do-Wells</t>
  </si>
  <si>
    <t>Failure to Communicate</t>
  </si>
  <si>
    <t>Leave Well Enough Alone</t>
  </si>
  <si>
    <t>No! Cut the Red Wire!</t>
  </si>
  <si>
    <t>--Salvage Op: You may take one "Cry Baby" card from any Supply Deck discard pile. --Place an Alliance Alert Token in all adjacent Sectors. --Full Stop.</t>
  </si>
  <si>
    <t>You Know Who We Are?</t>
  </si>
  <si>
    <t>Requires Solid with Niska. --Keep Flying.</t>
  </si>
  <si>
    <t>Shakedown</t>
  </si>
  <si>
    <t>Make Like Civil Folk</t>
  </si>
  <si>
    <t>Alliance Spy Satellite</t>
  </si>
  <si>
    <t>Dodge Detection</t>
  </si>
  <si>
    <t>Requires Pilot: --Place Alliance Alert Token in this Sector. --Keep Flying.</t>
  </si>
  <si>
    <t>Scanned &amp; Tagged</t>
  </si>
  <si>
    <t>--If you are an Outlaw Ship, Warrant Issued. --Keep Flying.</t>
  </si>
  <si>
    <t>The Beaumonde Derby</t>
  </si>
  <si>
    <t>Beaumonde, Kalidasa</t>
  </si>
  <si>
    <t>Gamble</t>
  </si>
  <si>
    <t>Robbing Heaven</t>
  </si>
  <si>
    <t>Heaven, Kalidasa</t>
  </si>
  <si>
    <t>Salisbury Steaks</t>
  </si>
  <si>
    <t>Salisbury, Kalidasa</t>
  </si>
  <si>
    <t>The Sho-Je Downs</t>
  </si>
  <si>
    <t>The Zephyr Stakes</t>
  </si>
  <si>
    <t>Sho-Je Downs, Kalidasa</t>
  </si>
  <si>
    <t>Zephyr, Kalidasa</t>
  </si>
  <si>
    <t>Mud Run: Muir</t>
  </si>
  <si>
    <t>TRANSPORT +200</t>
  </si>
  <si>
    <t>Mudder Grab: Hera</t>
  </si>
  <si>
    <t>Pass/Fugi, no limit</t>
  </si>
  <si>
    <t>300/PF</t>
  </si>
  <si>
    <t>4 Pass</t>
  </si>
  <si>
    <t>Mudder Grab: Ithaca</t>
  </si>
  <si>
    <t>Mud Run: Deadwood</t>
  </si>
  <si>
    <t>Mud Run: Heaven</t>
  </si>
  <si>
    <t>Mud Run: Aberdeen</t>
  </si>
  <si>
    <t>Mud Run: New Canaan</t>
  </si>
  <si>
    <t>Mud Run: Salisbury</t>
  </si>
  <si>
    <t>Aberdeen, Kalidasa</t>
  </si>
  <si>
    <t>Mud Pipeline: Santo</t>
  </si>
  <si>
    <t>Mud Pipeline: Bellerophon</t>
  </si>
  <si>
    <t>Mud Pipeline: Bernadette</t>
  </si>
  <si>
    <t>Mud Pipeline: Liann Jiun</t>
  </si>
  <si>
    <t>Mudder Grab: Shadow</t>
  </si>
  <si>
    <t>Mudder Grab: Three Hills</t>
  </si>
  <si>
    <t>Mud Run: Highgate</t>
  </si>
  <si>
    <t>Mud Run: Meridian</t>
  </si>
  <si>
    <t>Mud Pipeline: Londinium</t>
  </si>
  <si>
    <t>Mud Pipeline: Osiris</t>
  </si>
  <si>
    <t>Mud Pipeline: Albion</t>
  </si>
  <si>
    <t>Mud Pipeline: Ariel</t>
  </si>
  <si>
    <t>Dirt Nap: Fetch Conroy!</t>
  </si>
  <si>
    <t>Dirt Nap: Fetch Muldoon!</t>
  </si>
  <si>
    <t>Dirt Nap: Fetch Malachi!</t>
  </si>
  <si>
    <t>Dirt Nap: Fetch Kessler!</t>
  </si>
  <si>
    <t>Dirt Nap: Fetch Lien Wong!</t>
  </si>
  <si>
    <t>Talk 8/Misbehave 3</t>
  </si>
  <si>
    <t>Misbehave 1/4 Fugi</t>
  </si>
  <si>
    <t>Zeus, Kalidasa</t>
  </si>
  <si>
    <t>Talk 10/Misbehave 4</t>
  </si>
  <si>
    <t>Double-time delivery</t>
  </si>
  <si>
    <t>Double-dealing duo</t>
  </si>
  <si>
    <t>Double the pleasure</t>
  </si>
  <si>
    <t>Duplicitous dalliances</t>
  </si>
  <si>
    <t>Horowitz's double hook up</t>
  </si>
  <si>
    <t>Double entendre</t>
  </si>
  <si>
    <t>Double-wide</t>
  </si>
  <si>
    <t>My brother's keeper</t>
  </si>
  <si>
    <t>Newhall, Penglai</t>
  </si>
  <si>
    <t>Smuggling / Shipping</t>
  </si>
  <si>
    <t>Djinn's Bane, Kalidasa</t>
  </si>
  <si>
    <t>Misbehave 1/3 Contra, 3 Cargo</t>
  </si>
  <si>
    <t>Contra, no limit</t>
  </si>
  <si>
    <t>500/C</t>
  </si>
  <si>
    <t>The double dip</t>
  </si>
  <si>
    <t>Smuggling / Salvage Op</t>
  </si>
  <si>
    <t>Cortex Relay 2 (Kalidasa)</t>
  </si>
  <si>
    <t>Angel, Kalidasa</t>
  </si>
  <si>
    <t>Bonus Drop-Off</t>
  </si>
  <si>
    <t>6 Goods</t>
  </si>
  <si>
    <t>Misbehave 1/1 Contra, 1 Cargo, 2 Parts, 2 Fuel</t>
  </si>
  <si>
    <t>Misbehave 1/6 Contra</t>
  </si>
  <si>
    <t>Beylix, Penglai</t>
  </si>
  <si>
    <t>Double jeopardy</t>
  </si>
  <si>
    <t>Dual destinations</t>
  </si>
  <si>
    <t>Pair of jokers</t>
  </si>
  <si>
    <t>Transport / Crime</t>
  </si>
  <si>
    <t>Double the fun</t>
  </si>
  <si>
    <t>Serving two masters</t>
  </si>
  <si>
    <t>Transport / Smuggling</t>
  </si>
  <si>
    <t>Misbehave 1/2 Contra, 2 Fugi</t>
  </si>
  <si>
    <t>2 Contra, 2 Fugi</t>
  </si>
  <si>
    <t>Double Down</t>
  </si>
  <si>
    <t>Tale of two cities</t>
  </si>
  <si>
    <t>Two for the price of one</t>
  </si>
  <si>
    <t>The two towers of Zephyr</t>
  </si>
  <si>
    <t>Two for the road</t>
  </si>
  <si>
    <t>Shipping / Smuggling</t>
  </si>
  <si>
    <t>Verbena, Kalidasa</t>
  </si>
  <si>
    <t>Misbehave 1/2 Cargo, 2 Contra</t>
  </si>
  <si>
    <t>Misbehave 1/5 Fugi</t>
  </si>
  <si>
    <t>Twin brotherly love</t>
  </si>
  <si>
    <t>Two heads are better than one</t>
  </si>
  <si>
    <t>Two mules for Sister Constance</t>
  </si>
  <si>
    <t>Two ways this could go…</t>
  </si>
  <si>
    <t>Whittier, Kalidasa</t>
  </si>
  <si>
    <t>Misbehave 3/2 Fugi</t>
  </si>
  <si>
    <t>Misbehave 1/2 Contra, 2 Pass</t>
  </si>
  <si>
    <t>New Kasmir, Kalidasa</t>
  </si>
  <si>
    <t>Constance, Kalidasa</t>
  </si>
  <si>
    <t>2 Fugi</t>
  </si>
  <si>
    <t>Heaven's rejects</t>
  </si>
  <si>
    <t>The expendable</t>
  </si>
  <si>
    <t>The vaults of Olympus</t>
  </si>
  <si>
    <t>Misbehave 3/4 Fugi</t>
  </si>
  <si>
    <t>Misbehave 3/Kill a Merc</t>
  </si>
  <si>
    <t>4 Fugi</t>
  </si>
  <si>
    <t>Where angels fear to tread</t>
  </si>
  <si>
    <t>All manner of unwelcomed</t>
  </si>
  <si>
    <t>Soldier +500</t>
  </si>
  <si>
    <t>Pick Your Poison</t>
  </si>
  <si>
    <t>Enforced exile: Constance</t>
  </si>
  <si>
    <t>Enforced exile: New Kasmir</t>
  </si>
  <si>
    <t>Repair team transport</t>
  </si>
  <si>
    <t>Cortex Relay 2</t>
  </si>
  <si>
    <t>Mechanic +2 Parts</t>
  </si>
  <si>
    <t>Survey team transport</t>
  </si>
  <si>
    <t>1 Pass, 1 Cargo</t>
  </si>
  <si>
    <t>Transport / Shipping</t>
  </si>
  <si>
    <t>Trade negotiations</t>
  </si>
  <si>
    <t>I dream of Djinn</t>
  </si>
  <si>
    <t>Kill the messenger</t>
  </si>
  <si>
    <t>Bootleggin' run</t>
  </si>
  <si>
    <t>Break the Code</t>
  </si>
  <si>
    <t>Coachworks trade secrets</t>
  </si>
  <si>
    <t>Two-faced swindlers</t>
  </si>
  <si>
    <t>2 Contra, 2 Pass</t>
  </si>
  <si>
    <t>Enhanced Enforcement</t>
  </si>
  <si>
    <t>Salvage Op: --If you have FAKE ID, you may: Load 3 Cargo and Full Stop. Otherewise: Load 3 Contraband. Warrant Issued. Full Stop.</t>
  </si>
  <si>
    <t>Suit Up, We're Goin' In</t>
  </si>
  <si>
    <t>Patch Up Our Hurt</t>
  </si>
  <si>
    <t>Storm's Gettin' Worse</t>
  </si>
  <si>
    <t>Keep Flyin', Cowboy…</t>
  </si>
  <si>
    <t>Salvage Op: --Load 2 Goods. --Full Stop.</t>
  </si>
  <si>
    <t>--Evade.</t>
  </si>
  <si>
    <t>Requires Mechanic: --Spend 1 Part. --Keep Flying.</t>
  </si>
  <si>
    <t>--Player to your right must move Operative's Corvette 1 or 2 Sectors within Alliance, Border or Rim Space. --Keep Flying.</t>
  </si>
  <si>
    <t>If the Crew carrying this is Killed, discard this card instead.</t>
  </si>
  <si>
    <t>--Moral Crew become Disgruntled. --Keep Flying.</t>
  </si>
  <si>
    <t>Misbehave 2/5 Contra</t>
  </si>
  <si>
    <t>My work's illegal, but it's honest</t>
  </si>
  <si>
    <t>Big Damn Challenge</t>
  </si>
  <si>
    <t>Various</t>
  </si>
  <si>
    <t>Surveyors of What's Left</t>
  </si>
  <si>
    <t>Old-Fashioned Shoot-out</t>
  </si>
  <si>
    <t>WORK: Load 3 Passengers.</t>
  </si>
  <si>
    <t>A Rival begins their turn on a Border World.</t>
  </si>
  <si>
    <t>Hard rustlin'</t>
  </si>
  <si>
    <t>Vital supplies: Kerry</t>
  </si>
  <si>
    <t>Good old fashioned mail robbery</t>
  </si>
  <si>
    <t>Postman only rung once</t>
  </si>
  <si>
    <t>Tech 5; 1-4 Discard 1 Ship Upgrade. Full Stop. 5+ Keep Flying.</t>
  </si>
  <si>
    <t>Misbehave 1/up to 5 Fugi</t>
  </si>
  <si>
    <t>Shrewd Bartering</t>
  </si>
  <si>
    <t>Count</t>
  </si>
  <si>
    <t>Special Ability Type</t>
  </si>
  <si>
    <t>Resources (Goal)</t>
  </si>
  <si>
    <t>Unique</t>
  </si>
  <si>
    <t>Resources (Job Type)</t>
  </si>
  <si>
    <t>Resources (Shore Leave)</t>
  </si>
  <si>
    <t>Downside</t>
  </si>
  <si>
    <t>Resources (Salvage Op)</t>
  </si>
  <si>
    <t>Resources (Sell)</t>
  </si>
  <si>
    <t>Resources (Make-Work)</t>
  </si>
  <si>
    <t>Circumstance bonus</t>
  </si>
  <si>
    <t>Boost (tests), spend for bonus</t>
  </si>
  <si>
    <t>Conditional bonus (Gear)</t>
  </si>
  <si>
    <t>Misbehave option</t>
  </si>
  <si>
    <t>Conditional bonus (Showdown)</t>
  </si>
  <si>
    <t>Constant bonus</t>
  </si>
  <si>
    <t>Conditional bonus (Crew)</t>
  </si>
  <si>
    <t>Morale Booster</t>
  </si>
  <si>
    <t>Discard for bonus</t>
  </si>
  <si>
    <t>Extra Gear, Downside</t>
  </si>
  <si>
    <t>Boost (tests), reroll</t>
  </si>
  <si>
    <t>Extra Gear</t>
  </si>
  <si>
    <t>Conditional bonus (Location)</t>
  </si>
  <si>
    <t>Boost (tests), switch</t>
  </si>
  <si>
    <t>Circumstance bonus, +1</t>
  </si>
  <si>
    <t>Balanced?</t>
  </si>
  <si>
    <t>Unique, downside</t>
  </si>
  <si>
    <t>Master of Disguise: Counts as a Companion when Carrying Fancy Duds. Counts as a Grifter when Carrying Fake ID.</t>
  </si>
  <si>
    <t>Conditional ACE</t>
  </si>
  <si>
    <t>Constant, downside, ACE</t>
  </si>
  <si>
    <t>Circumstantial bonus, ACE</t>
  </si>
  <si>
    <t>Career Opportunities</t>
  </si>
  <si>
    <t>--Move the Alliance Cruiser to any Alliance Sector not occupied by a Firefly. --Keep Flying.</t>
  </si>
  <si>
    <t>--Discard all Goods in Hold; do not discard Passengers or Fugitives. --Full Stop.</t>
  </si>
  <si>
    <t>Career</t>
  </si>
  <si>
    <t>Career / Buy</t>
  </si>
  <si>
    <t>Immoral / Job</t>
  </si>
  <si>
    <t>Disgruntled</t>
  </si>
  <si>
    <t>Fuel</t>
  </si>
  <si>
    <t>Shore Leave</t>
  </si>
  <si>
    <r>
      <t>DEAL: Badger. WORK: Requires Solid with Badger.</t>
    </r>
    <r>
      <rPr>
        <sz val="8"/>
        <color theme="3" tint="0.39997558519241921"/>
        <rFont val="Calibri"/>
        <family val="2"/>
        <scheme val="minor"/>
      </rPr>
      <t xml:space="preserve"> Tech 8  1-7 Warrant Issued. 8+ Load 2 Contraband.</t>
    </r>
  </si>
  <si>
    <t>DEAL: Harken. WORK: Requires non-Outlaw. Take $1000. Place 3 Alliance Alert tokens in Sector.</t>
  </si>
  <si>
    <t>MISTER UNIVERSE</t>
  </si>
  <si>
    <t>LORD HARROW</t>
  </si>
  <si>
    <t>MAGISTRATE HIGGINS</t>
  </si>
  <si>
    <t>MINGO &amp; FANTY</t>
  </si>
  <si>
    <t>PIRACY</t>
  </si>
  <si>
    <t>BOUNTIES</t>
  </si>
  <si>
    <t>LAWMEN</t>
  </si>
  <si>
    <t>HAVENS</t>
  </si>
  <si>
    <t>REAVER ALERT TOKENS</t>
  </si>
  <si>
    <t>ALLIANCE ALERT TOKENS</t>
  </si>
  <si>
    <t>ASTEROID BELTS</t>
  </si>
  <si>
    <t>RIM SPACE</t>
  </si>
  <si>
    <t>THE OPERATIVE</t>
  </si>
  <si>
    <t>MUDDERS</t>
  </si>
  <si>
    <t>Loot Crate</t>
  </si>
  <si>
    <t>Loot Crate: Silverhold</t>
  </si>
  <si>
    <t>Remove from Play to Use: Draw a card from the Silverhold Supply Deck. If it is a Gear Card, keep it. If not, discard it and draw another card. Repeat until a Gear Card is drawn.</t>
  </si>
  <si>
    <t>Paragon: May Hire Moral Crew at no cost. When you complete a Legal Job, take $300.</t>
  </si>
  <si>
    <t>Jack Leland</t>
  </si>
  <si>
    <t>Big Daddy</t>
  </si>
  <si>
    <t>Tucker</t>
  </si>
  <si>
    <t>Liddy</t>
  </si>
  <si>
    <t>Masters in Mixology: Discard 1 Goods to count as Explosives.</t>
  </si>
  <si>
    <t>Big Daddy's Sword Cane</t>
  </si>
  <si>
    <t>White Lightning Special</t>
  </si>
  <si>
    <t>Engine Room Still</t>
  </si>
  <si>
    <t>You may use an Action to change 1 Cargo into 1 Contraband.</t>
  </si>
  <si>
    <t>Andreas</t>
  </si>
  <si>
    <t>Jinny</t>
  </si>
  <si>
    <t>Jinny's Bottomless Rucksack</t>
  </si>
  <si>
    <t>Moonshine</t>
  </si>
  <si>
    <t>Devil's Wardrobe</t>
  </si>
  <si>
    <t>Discard and pay $500 to count as an "Ace" for any Misbehave Card: Proceed.</t>
  </si>
  <si>
    <t>Backroom Poker Game</t>
  </si>
  <si>
    <t>GAMBLING. Discard to Use. Pay the Bank $500: Draw 5 Misbehave Cards. If 3 suits appear, take $1200. If 4 suits appear, take $2000.</t>
  </si>
  <si>
    <t>Shepherd's Sermon</t>
  </si>
  <si>
    <t>Onboard Casino</t>
  </si>
  <si>
    <t>From any location, you may use a Buy Action to purchase 1 Gear with the "Gambling" Keyword from any discard pile.</t>
  </si>
  <si>
    <t>Weapons Locker</t>
  </si>
  <si>
    <t>Workshop</t>
  </si>
  <si>
    <t>Jack Leland's Stacked Deck</t>
  </si>
  <si>
    <t>Spaceship Schematics</t>
  </si>
  <si>
    <t>Requires Mechanic: Discard after a successful Salvage Op to Keep Flying.</t>
  </si>
  <si>
    <t>Maxx's Sniper Rifle</t>
  </si>
  <si>
    <t>When you proceed by using an "Ace" while Misbehaving, remove Disgruntled from the Owner.</t>
  </si>
  <si>
    <t>Rain Stick</t>
  </si>
  <si>
    <t>Promo Pack</t>
  </si>
  <si>
    <t>When in a Sector with Alliance Cruiser, discard to ignore Alliance Cruiser's effects and move the Cruiser 1 Sector within Alliance Space.</t>
  </si>
  <si>
    <t>Simon's Sonic Stun Baton</t>
  </si>
  <si>
    <t>Range 5. Unique Core: May not be replaced. May only be used on White Lightning. 1 Fuel to initiate Full Burn. May Mosey up to 2 Sectors.</t>
  </si>
  <si>
    <t>Requires [TECH] to Carry.</t>
  </si>
  <si>
    <t>Knife Fighter: +[FIGHT] When Carrying a Knife. May not Carry a Firearm.</t>
  </si>
  <si>
    <t>Intimidating: +[NEGOTIATE] When Carrying a Firearm.</t>
  </si>
  <si>
    <t>When Working, may Carry 2 Gear. Does not count towards Gear Limit.</t>
  </si>
  <si>
    <t>Requires Moral and [NEGOTIATE] to Carry. Does not count towards Gear Limit. Discard to remove Disgruntled from all Moral Crew.</t>
  </si>
  <si>
    <t>Boatful of Citizens: From any location, you may use a Deal Action to Consider and Accept one Transport Job from any discard pile.</t>
  </si>
  <si>
    <t>Discard, after a [FIGHTING] Test, to count the roll as a 6 and add Thrillin' Heroics bonus roll.</t>
  </si>
  <si>
    <t>Discard, after a [TECHING] Test, to count the roll as a 6 and add Thrillin' Heroics bonus roll.</t>
  </si>
  <si>
    <t>Range: 5. Unique Core: May not be replaced. May only be used on Aces &amp; Eights. 1 Fuel to initiate Full Burn. When initiating a Full Burn, spend 1 additional Fuel to increase your Max Range by 2 this turn.</t>
  </si>
  <si>
    <t>Disgruntle Owner to add their [FIGHT] to a [NEGOTIATING] Test. Does not count towards Gear Limit.</t>
  </si>
  <si>
    <t>Discard before rolling to add +1 to any test result. -OR- Discard to remove Disgruntled from the owner.</t>
  </si>
  <si>
    <t>Laws Are For the Poor: May pay Bribes before any [NEGOTIATING] Test. Bribes may not be used in [SHOWDOWNS].</t>
  </si>
  <si>
    <t>Composure: Once per job, may treat a [FIGHTING] as a [NEGOTIATING] Test.</t>
  </si>
  <si>
    <t>Facilitator: Whenever you sell Contraband to a Contact, take an extra $100 per Contraband sold.</t>
  </si>
  <si>
    <t>Does not count towards Gear Limit.</t>
  </si>
  <si>
    <t>Phone Home: From any location, you may use a Deal Action to Deal with Higgins. Accept or discard the Jobs normally.</t>
  </si>
  <si>
    <t>Mesmerize: Discard to ignore a Warrant Issued.</t>
  </si>
  <si>
    <t>Discard to look at the top 5 cards of ANY Nav Deck. Return the cards to the top of the Deck in any order.</t>
  </si>
  <si>
    <t>Errand Boy: When you discard a Gear Card, roll a dice. If you roll a 6, keep the Gear Card. Otherwise, discard it normally.</t>
  </si>
  <si>
    <t>GAMBLING. When you Buy this card, roll two dice. Take $100 times the total of the dice and discard this card.</t>
  </si>
  <si>
    <t>May be used in Kosherized fights. Does not count towards Gear Limit.</t>
  </si>
  <si>
    <t>Rivals boarding your ship may not use [TECH] Skill for Boarding Tests. Spend 1 Fuel to Evade Reaver Cutter. Ignore the effects of either the Reaver Cutter Nav Card or Contact Event.</t>
  </si>
  <si>
    <t>Exterior Cargo Pods</t>
  </si>
  <si>
    <t>2 Additional Cargo Hold areas.</t>
  </si>
  <si>
    <t>Medic Check: Roll when a Crew is Killed: 1-4: Crew is still Killed. 5-6: Return Crew to Ship.</t>
  </si>
  <si>
    <t>Rivals using [FIGHT] in [SHOWDOWNS] must follow Kosherized rules.</t>
  </si>
  <si>
    <t>Ambassador: May re-roll NEGOTIATING] Tests.</t>
  </si>
  <si>
    <t>Discard to look at the top 5 Cards of the Alliance Space Nav Deck. Return the cards to the top of the Deck in any order.</t>
  </si>
  <si>
    <t>Fed: Whenever you lose a [SHOWDOWN], Warrant Issued to Rival. Bounty Bonus +$500. Will not Work Illegal Jobs.</t>
  </si>
  <si>
    <t>Security Pro: May re-roll [SHOWDOWN] Tests.</t>
  </si>
  <si>
    <t>Gifted: Before each Test, roll: 1-2: Return to Ship 3: [FIGHT][FIGHT] 4: [TECH][TECH] 5: [NEGOTIATE][NEGOTIATE] 6: 3 of any chosen Skill.</t>
  </si>
  <si>
    <t>-2 to Rival's [TECH] Boarding Tests. If Rival rolls a 1 when Boarding your ship, 1 of their Crew is Killed. Discard to count as EXPLOSIVES.</t>
  </si>
  <si>
    <t>Counts as Knife: Discard to add +[FIGHT] to a [FIGHTING] Test, after rolling.</t>
  </si>
  <si>
    <t>Rivals may not Jump your Bounties. 1 Crew aboard ship may ignore Alliance Wanted Crew rolls.</t>
  </si>
  <si>
    <t>Crew carrying Scan-Proof Shades may ignore Alliance Wanted Crew rolls.</t>
  </si>
  <si>
    <t>Scan-Proof Shades</t>
  </si>
  <si>
    <t>2 Additional Cargo Hold areas. May only hold Passengers/Fugitives. +1 to Ship's Max Crew.</t>
  </si>
  <si>
    <t>Reroll any [FIGHTING] Test results of 1.</t>
  </si>
  <si>
    <t>Natural Know How: May re-roll [TECHING] Tests. * Big Damn Heroes: When you Proceed while Misbehaving, take $100.</t>
  </si>
  <si>
    <t>Natural Know How: May re-roll [TECHING] Tests.</t>
  </si>
  <si>
    <t>Reroll any [NEGOTIATING] Test results of 1.</t>
  </si>
  <si>
    <t>Discard to look at the top 5 cards of the Border Space Nav Deck. Return the cards to the top of the Deck in any order.</t>
  </si>
  <si>
    <t>Cheap Shot: May use Gear in "Kosherized" [FIGHTING] Tests.</t>
  </si>
  <si>
    <t>"Sash's" Hand Cannon</t>
  </si>
  <si>
    <t>Before rolling [SHOWDOWN], Disgruntle Rival's Leader.</t>
  </si>
  <si>
    <t>Concealed Smuggling Compartments</t>
  </si>
  <si>
    <t>2 Additional Stash areas. Up to 2 Crew Onboard Ship may ignore Alliance Wanted Crew rolls.</t>
  </si>
  <si>
    <t>"Genius" Mechanic: On [TECHING] Tests, "Thrillin' Heroics" bonus dice do not apply.</t>
  </si>
  <si>
    <t>+3 [TECH][TECH][TECH] for Boarding Tests. After Salvage Ops, Roll: [TECHING] 8  1-7: Nothing Shiny. 8+ Take 1 Ship Upgrade from any discard pile.</t>
  </si>
  <si>
    <t>Jurisdiction: +[FIGHT][FIGHT] while in Border Space. Bounty Bonus: +$500. Will not work Illegal Jobs.</t>
  </si>
  <si>
    <t>Requires Transport.</t>
  </si>
  <si>
    <t>Cantankerous: Once per job, may treat a [NEGOTIATING] as a [FIGHTING] Test.</t>
  </si>
  <si>
    <t>Dust Devil: May re-roll [FIGHTING] Tests. * Big Damn Heroes: When you Proceed while Misbehaving, take $100.</t>
  </si>
  <si>
    <t>Dust Devil: May re-roll [FIGHTING] Tests.</t>
  </si>
  <si>
    <t>Turncoat: In a [SHOWDOWN], you may force a Rival to re-roll.</t>
  </si>
  <si>
    <t>Angry Mob: +[FIGHT] When you have at least 3 Hill Folk in your crew.</t>
  </si>
  <si>
    <t>Firebug: +[NEGOTIATE] When Carrying Explosives.</t>
  </si>
  <si>
    <t>Goon Squad: +[NEGOTIATE][NEGOTIATE] When you have at least 3 Mercs in Crew.</t>
  </si>
  <si>
    <t>Mudder Manager:+[FIGHT][FIGHT] When you have at least 3 Mudders in your Crew.</t>
  </si>
  <si>
    <t>+[FIGHT][FIGHT] in [SHOWDOWN]</t>
  </si>
  <si>
    <t>Jayne's "Cunning" Hat</t>
  </si>
  <si>
    <t>+[TECH] for Boarding Tests. +1 Cargo from Salvage Ops. 1 Crew aboard ship may ignore Alliance Wanted Crew rolls.</t>
  </si>
  <si>
    <t>Discard at the start of a Move Action to treat all Nav Cards that would normally move a Reaver or Alliance Ship as a "Big Black" card instead.</t>
  </si>
  <si>
    <t>Bounty Hunter: +[FIGHT][FIGHT] When Attacking in [SHOWDOWN]. May Carry 2 Gear.</t>
  </si>
  <si>
    <t>"Sash"</t>
  </si>
  <si>
    <t>Range 8. Unique Core: May not be replaced. May only be used Interceptor. No Fuel required to initiate Full Burn.</t>
  </si>
  <si>
    <t>Discreet transportation</t>
  </si>
  <si>
    <t>Curse Your Sudden But Inevitable Betrayal!</t>
  </si>
  <si>
    <t>Negotiate 6; 1-5 Disgruntle all Crew. Attempt Botched. 6+ Proceed.</t>
  </si>
  <si>
    <t>Everything's Shiny Cap'n</t>
  </si>
  <si>
    <t>Needs: FANCY DUDS</t>
  </si>
  <si>
    <t>Needs: EXPLOSIVES</t>
  </si>
  <si>
    <t>Needs: TRANSPORT</t>
  </si>
  <si>
    <t>Needs: HACKING RIG</t>
  </si>
  <si>
    <t>Needs: FAKE ID</t>
  </si>
  <si>
    <t>Needs: EXPLOSIVES, FIREARM</t>
  </si>
  <si>
    <t>Needs: FANCY DUDS, HACKING RIG, FAKE ID</t>
  </si>
  <si>
    <t>Needs: HACKING RIG, Solid Rep with Harken</t>
  </si>
  <si>
    <t>Needs: SNIPER RIFLE, Merc</t>
  </si>
  <si>
    <t>Needs: EXPLOSIVES, TRANSPORT</t>
  </si>
  <si>
    <t>Needs: Solid Rep With Niska</t>
  </si>
  <si>
    <t>Needs: FIREARM, TRANSPORT</t>
  </si>
  <si>
    <t>Needs: Grifter</t>
  </si>
  <si>
    <t>Needs: Solid with Patience OR FIREARM</t>
  </si>
  <si>
    <t>Needs: Solid with Badger OR EXPLOSIVES</t>
  </si>
  <si>
    <t>Needs: Solid with Harrow OR HACKING RIG</t>
  </si>
  <si>
    <t>Needs: Solid with Niska OR SNIPER RIFLE</t>
  </si>
  <si>
    <t>Needs: Solid with Fanty &amp; Mingo OR FAKE ID</t>
  </si>
  <si>
    <t>Needs: FANCY DUDS, Companion</t>
  </si>
  <si>
    <t>Needs: Solid with Harken</t>
  </si>
  <si>
    <t>Needs: Mechanic, Pilot</t>
  </si>
  <si>
    <t>Needs: EXPLOSIVES OR Medic</t>
  </si>
  <si>
    <t>Fork in the Road</t>
  </si>
  <si>
    <t>Grumpy Malcontent</t>
  </si>
  <si>
    <t>Shut Your Gorram Pie Hole! We've Heard Our Fill!</t>
  </si>
  <si>
    <t>I'll Be in My Bunk</t>
  </si>
  <si>
    <t>Return the Crew Member with the highest total [FIGHT] to the Ship. If they are not already Disgruntled, Disgruntle them. Proceed.</t>
  </si>
  <si>
    <t>Larcenous Opportunity</t>
  </si>
  <si>
    <t>Job Will Keep: Settlers Ain't Gonna Rob Themselves…</t>
  </si>
  <si>
    <t>Requires FIREARM. Disgruntle all Moral Crew. Take 4 Goods. Attempt Botched.</t>
  </si>
  <si>
    <t>Draw another Misbehave Card to replace this card. Discard this card.</t>
  </si>
  <si>
    <t>Local Bootleggin' Outfit</t>
  </si>
  <si>
    <t>That's the Good Stuff!</t>
  </si>
  <si>
    <t>Requires: Pay $400. Take 1 Contraband. Remove Disgruntled from all Crew. Attempt Botched.</t>
  </si>
  <si>
    <t>No Imbibing on the Job, We're Workin' Here!</t>
  </si>
  <si>
    <t>Disgruntle all Mercs &amp; Soldiers. Proceed.</t>
  </si>
  <si>
    <t>All-Out Brawl!</t>
  </si>
  <si>
    <t>Check Point</t>
  </si>
  <si>
    <t>Double Dealing</t>
  </si>
  <si>
    <t>Solid with Harken</t>
  </si>
  <si>
    <t>Solid with Fanty &amp; Mingo</t>
  </si>
  <si>
    <t>Fight Clean</t>
  </si>
  <si>
    <t>Fight 9 Kosherized; 1-8 Attempt Botched. 9+ Proceed.</t>
  </si>
  <si>
    <t>Fight Dirty</t>
  </si>
  <si>
    <t>Can't  Risk 'em Diggin' in Your Records</t>
  </si>
  <si>
    <t>Disgruntle all Wanted Crew. Return all Wanted Crew to Ship. Proceed.</t>
  </si>
  <si>
    <t>Look Casual and Keep Your Eyes Low</t>
  </si>
  <si>
    <t>Betrayal… for a Price</t>
  </si>
  <si>
    <t>There's No Pleasin' Some Folks</t>
  </si>
  <si>
    <t>Discard a Job from Hand, if able. Fight 9; 1-8 Attempt Botched. 9+ Proceed.</t>
  </si>
  <si>
    <t>Stop and Frisk</t>
  </si>
  <si>
    <t>The Black Market Express</t>
  </si>
  <si>
    <t>The Manure's Hit the Turbine</t>
  </si>
  <si>
    <t>You Set Off the Alarm!</t>
  </si>
  <si>
    <t>Solid with Patience</t>
  </si>
  <si>
    <t>Security Scare</t>
  </si>
  <si>
    <t>Solid with Higgins</t>
  </si>
  <si>
    <t>A Well-Greased Handshake</t>
  </si>
  <si>
    <t>Grit Yer Teeth and Submit</t>
  </si>
  <si>
    <t>All FIREARMS are Seized. If you discard any, Disgruntle all Wanted Crew. Proceed.</t>
  </si>
  <si>
    <t>Job Will Keep: Can't Pass Up a Bargain</t>
  </si>
  <si>
    <t>You may Buy any Firearms and Explosives from the Silverhold Discard pile at half price. Attempt Botched.</t>
  </si>
  <si>
    <t>It Wasn't My Fault! We Were Set Up!</t>
  </si>
  <si>
    <t>Lose 1 Solid Rep and Proceed. OR Attempt Botched.</t>
  </si>
  <si>
    <t>It Was Their Fault! I'm Surrounded by Idiots!</t>
  </si>
  <si>
    <t>Disgruntle all Crew except Leader. Proceed.</t>
  </si>
  <si>
    <t>Lose Rep with 1 Contact, if able. Disgruntle any Crew who are not already Disgruntled. Attempted Botched.</t>
  </si>
  <si>
    <t>We're Boned…</t>
  </si>
  <si>
    <t>Kow-Tow, Curtsy and Bite Your Tongue</t>
  </si>
  <si>
    <t>All carried SNIPER RIFLES and EXPLOSIVES are Seized. Disgruntle Crew carrying them. Proceed.</t>
  </si>
  <si>
    <t>Over My Dead Body!</t>
  </si>
  <si>
    <t>Fight 9; 1-8 Kill 1 Crew. Warrant Issued. 9+ Crew is now Wanted. Proceed.</t>
  </si>
  <si>
    <t>Gambling Den</t>
  </si>
  <si>
    <t>Hired Local Goons</t>
  </si>
  <si>
    <t>Packed Market</t>
  </si>
  <si>
    <t>Purple Bellies!</t>
  </si>
  <si>
    <t>Solid with Badger</t>
  </si>
  <si>
    <t>Rollin' with the High Rollers</t>
  </si>
  <si>
    <t>GAMBLING. Pay $1000, roll 2 dice. If you roll doubles, take $2000. Proceed.</t>
  </si>
  <si>
    <t>Thieves &amp; Cheaters, All!</t>
  </si>
  <si>
    <t>The Easy Way</t>
  </si>
  <si>
    <t>The Hard Way</t>
  </si>
  <si>
    <t>Negotiate 8; 1-7 Attempt Botched. 8+ Proceed.</t>
  </si>
  <si>
    <t>Pass Through the Crowd</t>
  </si>
  <si>
    <t>Fight 8 Kosherized; 1-7 Attempt Botched. 8+ Crew is Now Wanted. Proceed.</t>
  </si>
  <si>
    <t>Fight 14; 1-6 Kill 3 Crew. Proceed. 7-13 Kill 2 Crew. Proceed. 14+ Kill 1 Crew. Proceed.</t>
  </si>
  <si>
    <t>The Long Way Around</t>
  </si>
  <si>
    <t>Pushy Salesman</t>
  </si>
  <si>
    <t>You may buy up to 3 Cargo for $100 each. Attempt Botched.</t>
  </si>
  <si>
    <t>We're Not Buyers. We're Takers</t>
  </si>
  <si>
    <t>System-Wide Bulletin</t>
  </si>
  <si>
    <t>Draw a new Alliance Alert Card; this rule is now in effect. If there is already an Alert Card in play, replace it with the new Alert. Roll a die: If you roll equal to or lower than the number of Warrants you currently have, Attempt Botched. If you roll higher, Proceed.</t>
  </si>
  <si>
    <t>Disable the Cortex Uplink</t>
  </si>
  <si>
    <t>Dockside Scanner</t>
  </si>
  <si>
    <t>Food Riots</t>
  </si>
  <si>
    <t>Shimmy Up There and Cut the Connection</t>
  </si>
  <si>
    <t>Figure It’ll Quit Workin' If We Put Enough Holes in It?</t>
  </si>
  <si>
    <t>See If This Old Code Still Works</t>
  </si>
  <si>
    <t>Tech 8; 1-7 Warrant Issued. 8+ Proceed.</t>
  </si>
  <si>
    <t>Good Samaritans</t>
  </si>
  <si>
    <t>Requires: Discard 1 Cargo or Contraband. Remove Disgruntled from Moral Crew. Proceed.</t>
  </si>
  <si>
    <t>You may return any number of Crew to the Ship. Roll a die: If you roll higher than the number of remaining Crew, Proceed. Otherwise, Attempt Botched.</t>
  </si>
  <si>
    <t>Try to Slip Through the Crowd</t>
  </si>
  <si>
    <t>Alliance Restricted Activity Zone</t>
  </si>
  <si>
    <t>Central Data Access</t>
  </si>
  <si>
    <t>Dangerous Gossip</t>
  </si>
  <si>
    <t>Solid with Niska</t>
  </si>
  <si>
    <t>Rumor Control</t>
  </si>
  <si>
    <t>Discard all Jobs in Hand. Attempt Botched.</t>
  </si>
  <si>
    <t>Solid with Harrow</t>
  </si>
  <si>
    <t>Invitation Only Gala</t>
  </si>
  <si>
    <t>Patience's Wearing Thing</t>
  </si>
  <si>
    <t>Requires at least 1 Solid Rep: Negotiate 7; 1-6 Lose 1 Solid Rep. Attempt Botched. 7+ Proceed.</t>
  </si>
  <si>
    <t>Callin' in a Favor</t>
  </si>
  <si>
    <t>Exchange Words and Bullets</t>
  </si>
  <si>
    <t>Fight 9; 1-8 Kill 1 Crew, Attempt Botched. 9+ Proceed.</t>
  </si>
  <si>
    <t>Scalped by the Scalpers</t>
  </si>
  <si>
    <t>Pay $2000 to Proceed. OR Attempt Botched.</t>
  </si>
  <si>
    <t>Hotel Back-Office Terminal</t>
  </si>
  <si>
    <t>Improbably Complex Alliance Gizmo</t>
  </si>
  <si>
    <t>Port Control Land-Lock</t>
  </si>
  <si>
    <t>A Gaggle of Folks Is Gonna Raise Eyebrows</t>
  </si>
  <si>
    <t>Tech 6 Choose 1 Crew for Test: 1-5 Chosen Crew is now Wanted. Attempt Botched. 6+ Proceed.</t>
  </si>
  <si>
    <t>Well, This'll Make Everything Harder…</t>
  </si>
  <si>
    <t>Draw two Misbehave Cards. If you Proceed past both cards, Proceed.</t>
  </si>
  <si>
    <t>Finagle the Doohickey; It's All Caddywhompus</t>
  </si>
  <si>
    <t>Tech 8; 1-7 Warrant Issued. 8+ You may discard a Warrant. Proceed.</t>
  </si>
  <si>
    <t>Quit Pokin' at It. Yer Doin' More Harm than Good</t>
  </si>
  <si>
    <t>Disgruntle all Crew with Tech Skill on their card (not Gear). Attempt Botched.</t>
  </si>
  <si>
    <t>Bypass the Local Cortex Array</t>
  </si>
  <si>
    <t>Recalcitrant Official</t>
  </si>
  <si>
    <t>They've Got Us Dead to Rights</t>
  </si>
  <si>
    <t>Solid with Mister Universe</t>
  </si>
  <si>
    <t>Negotiate 10; 1-5 Warrant Issued. 6-9 Attempt Botched. 10+ Proceed.</t>
  </si>
  <si>
    <t>Tech 9; 1-8 Attempt Botched. 9+ You may discard up to 2 Warrants or 2 Wanted Tokens. Proceed.</t>
  </si>
  <si>
    <t>Magisterial Entanglements</t>
  </si>
  <si>
    <t>Secure Perimeter</t>
  </si>
  <si>
    <t>A Bit of Civil Discourse</t>
  </si>
  <si>
    <t>Negotiate 12; 1-11 Crew Wanted. Attempt Botched. 12+ Proceed.</t>
  </si>
  <si>
    <t>Tech 7; 1-6 Next Fight Test is Kosherized, Continue. 7+ Continue.</t>
  </si>
  <si>
    <t>Fight 10; 1-9 Kill 1 Crew. Attempt Botched. 10+ Take 2 Goods. Proceed.</t>
  </si>
  <si>
    <t>That's Not Heroics, That's Suicide!</t>
  </si>
  <si>
    <t>Proceed with the Team which includes your Leader.</t>
  </si>
  <si>
    <t>Unification Day Festivities</t>
  </si>
  <si>
    <t>We Got a Plan? Anyone?</t>
  </si>
  <si>
    <t>Fight 7 Kosherized; 1-6 Crew is now Wanted. Attempt Botched. 7+ Continue.</t>
  </si>
  <si>
    <t>Negotiate 8 Bribes; 1-7 Attempt Botched. 8+ Proceed.</t>
  </si>
  <si>
    <t>We'll Make It Up on the Fly</t>
  </si>
  <si>
    <t>First, determine which Skill to use, roll a die: 1-2: [NEGOTIATE], 3-4: [TECH], 5-6: [FIGHT]. Then, roll your Skill Test 8; 1-4 Warrant Issued. 5-7 Attempt Botched. 8+ Proceed.</t>
  </si>
  <si>
    <t>Best Head Back to the Ship, Rethink Our Life Choices</t>
  </si>
  <si>
    <t>Attempt Botched. You may take a third Action this turn.</t>
  </si>
  <si>
    <t>Alliance Alert!</t>
  </si>
  <si>
    <t>Ship Pack: Artful Dodger</t>
  </si>
  <si>
    <t>Ship Pack: Jetwash</t>
  </si>
  <si>
    <t>Ship Pack: Esmeralda</t>
  </si>
  <si>
    <t>Rim Expansion: Kalidasa</t>
  </si>
  <si>
    <t>Rim Expansion: Blue Sun</t>
  </si>
  <si>
    <t>Expansion: Breakin' Atmo</t>
  </si>
  <si>
    <t>Expansion: Pirates &amp; Bounty Hunters</t>
  </si>
  <si>
    <t>Ship Pack: White Lightning</t>
  </si>
  <si>
    <t>Expansion: Aces &amp; Eights</t>
  </si>
  <si>
    <t>Ship Pack: CanTankerous</t>
  </si>
  <si>
    <t>Leith Bazaar</t>
  </si>
  <si>
    <t>Kalidasa</t>
  </si>
  <si>
    <t>Negotiate 9 Bribes; 1-8 Attempt Botched. 9+ Continue.</t>
  </si>
  <si>
    <t>Roll for all Wanted Crew. If any Crew are Seized, Warrant Issued. Otherwise, Proceed.</t>
  </si>
  <si>
    <t>Pay $100. Disgruntle all Mercs and Soldiers. Attempt Botched.</t>
  </si>
  <si>
    <t>Requires at least 1 Solid Rep. Take $1000. Disgruntle Moral Crew. Discard 1 Solid Rep. Proceed.</t>
  </si>
  <si>
    <t>Fight 8 Kosherized; 1-7 Crew Wanted, Attempt Botched. 8+ Take $1000. Proceed.</t>
  </si>
  <si>
    <t>In Like Lambs, Out Like Lions. &gt;&gt;FIRST, Be all Soft &amp; Cuddly</t>
  </si>
  <si>
    <t>&gt;&gt;NEXT, A Roaring Exit</t>
  </si>
  <si>
    <t>Fight 9; 1-8 Kill 2 Crew. Warrant Issued. 9+ Disgruntle Moral Crew, Proceed.</t>
  </si>
  <si>
    <t>Alter the Security Protocols. &gt;&gt;FIRST, Get Past the Front Desk</t>
  </si>
  <si>
    <t>&gt;&gt;NEXT, Find the Terminal</t>
  </si>
  <si>
    <t>Oh, We're Gonna be Rollin' in Work After This One…</t>
  </si>
  <si>
    <t>Tech 6; Choose 1 Crew for Test: 1-5 Attempt Botched. 6+ Proceed.</t>
  </si>
  <si>
    <t>Meet Back on the Ship After</t>
  </si>
  <si>
    <t>Divide your Crew into two teams: Draw 2 Misbehave Cards, one for each Team. If neither team has a Warrant issued, Proceed Past this card. Any team which Botches their card must return to the Ship. If all Crew Return to the Ship, this Job Attempt is Botched.</t>
  </si>
  <si>
    <t>Disgruntle any Crew who are not already Disgruntled. Proceed.</t>
  </si>
  <si>
    <t>Lead Us Not into Temptation…</t>
  </si>
  <si>
    <t>Squeeze Off a Couple of Shots in the Air</t>
  </si>
  <si>
    <t>We Are Just Too Pretty for God to Let Us Die!</t>
  </si>
  <si>
    <t>Fine. Show Us What You've Got.</t>
  </si>
  <si>
    <t>Crew is now Wanted. Fight 6. 1-5 Warrant Issued. 6+ Take 2 Parts. Proceed.</t>
  </si>
  <si>
    <t>Patch Into Their Uplink, Make Them See Reason. &gt;&gt;FIRST, Upload Incriminating Photos</t>
  </si>
  <si>
    <t>&gt;&gt;NEXT, a Wee Bit of Blackmail</t>
  </si>
  <si>
    <t>Let's at Least Even the Odds. &gt;&gt;FIRST, Kill the Weapons Scanner</t>
  </si>
  <si>
    <t>&gt;&gt;NEXT, Take Out the Guards</t>
  </si>
  <si>
    <t xml:space="preserve">Split your Crew into two teams. &gt;&gt;First, the team without your Leader must: Fight 12; 1-11 Kill all Crew in Team. 12+ Return Team to Ship. </t>
  </si>
  <si>
    <t>&gt;&gt;Next,</t>
  </si>
  <si>
    <t>Destroy the Evidence. &gt;&gt;FIRST, Knock out the Uplink Guards</t>
  </si>
  <si>
    <t>&gt;&gt;NEXT, Scrub the Records</t>
  </si>
  <si>
    <t>Unfriendly Difference of Opinion. &gt;&gt;FIRST, Whiskey &amp; Fisticuffs</t>
  </si>
  <si>
    <t>&gt;&gt;NEXT, A Round for the House</t>
  </si>
  <si>
    <t>Isn't Going to Look Good… Run!</t>
  </si>
  <si>
    <t>Ill-Advised Rendezvous</t>
  </si>
  <si>
    <t>ALLIANCE AUDIT</t>
  </si>
  <si>
    <t>BACKGROUND CHECKS</t>
  </si>
  <si>
    <t>If you have any Warrants when you roll for Wanted Crew, you must roll higher than your number of Warrants for each Crew to Dodge Capture.</t>
  </si>
  <si>
    <t>CRIMINAL ACTIVITY</t>
  </si>
  <si>
    <t>+1 Misbehave when you Work an Illegal Job while you have any Warrants.</t>
  </si>
  <si>
    <t>CRIMINAL SIGHTING</t>
  </si>
  <si>
    <t>ENHANCED INSPECTION</t>
  </si>
  <si>
    <t>You may not Sell Cargo to Contacts.</t>
  </si>
  <si>
    <t>INCARCERATION ORDER</t>
  </si>
  <si>
    <t>When resolving Alliance Contact, you may Remove one of your Wanted Crew from play Instead of paying one Warrant's fine.</t>
  </si>
  <si>
    <t>:::SYSTEM WIDE::: See Order 24.4b: Increased Detention Quotas</t>
  </si>
  <si>
    <t>PERSONS OF INTEREST </t>
  </si>
  <si>
    <t>When you Botch a Job, Disgruntle your entire Crew.</t>
  </si>
  <si>
    <t>:::SYSTEM WIDE::: Authority granted for increased surveillance and detention of any suspicious persons. Probable cause protocols suspended.</t>
  </si>
  <si>
    <t>:::SYSTEM WIDE::: Dispersion of work contracts to independent contractors is suspended until further notice, pending investigation into new regulatory framework.</t>
  </si>
  <si>
    <t>RAPID RESPONSE</t>
  </si>
  <si>
    <t>When a player moves an Alliance Ship, they may move it one extra Sector. Does not apply to the "Alliance Contact" Nav Card.</t>
  </si>
  <si>
    <t>WHITE SUN COMMERCE</t>
  </si>
  <si>
    <t>:::SYSTEM WIDE::: All financial transactions are now subject to three-level Cortex authentication.</t>
  </si>
  <si>
    <t>:::System Wide::: Additional Security Patrols Required</t>
  </si>
  <si>
    <t>If you have any Warrants, you may not Buy at Osiris or Persephone.</t>
  </si>
  <si>
    <t>Each time a player Hires a Wanted Crew, place this card on that Supply Deck. Player may not take a Buy Action at this location until this card moves.</t>
  </si>
  <si>
    <t>Title</t>
  </si>
  <si>
    <t>Effects</t>
  </si>
  <si>
    <t>Flavor</t>
  </si>
  <si>
    <t>Reavers on the Hunt (Rim Space)</t>
  </si>
  <si>
    <t>Reavers on the Hunt (Border Space)</t>
  </si>
  <si>
    <t>The Big Black (Alliance Space)</t>
  </si>
  <si>
    <t>The Big Black (Border Space)</t>
  </si>
  <si>
    <t>The Big Black (Rim Space)</t>
  </si>
  <si>
    <r>
      <t>DEAL: Badger. WORK: Requires Badger.</t>
    </r>
    <r>
      <rPr>
        <sz val="10"/>
        <color theme="3" tint="0.39997558519241921"/>
        <rFont val="Calibri"/>
        <family val="2"/>
        <scheme val="minor"/>
      </rPr>
      <t xml:space="preserve"> Tech 8  1-7 Warrant Issued. 8+ Load 2 Contraband.</t>
    </r>
  </si>
  <si>
    <r>
      <t xml:space="preserve">WORK: </t>
    </r>
    <r>
      <rPr>
        <sz val="10"/>
        <color theme="9" tint="-0.249977111117893"/>
        <rFont val="Calibri"/>
        <family val="2"/>
        <scheme val="minor"/>
      </rPr>
      <t>Fight 8  1-7 Disgruntle all Moral Crew. 8+ Take 3 Cargo.</t>
    </r>
  </si>
  <si>
    <r>
      <t xml:space="preserve">The Rival removes 1 Crew from their ship. </t>
    </r>
    <r>
      <rPr>
        <sz val="10"/>
        <color theme="9" tint="-0.249977111117893"/>
        <rFont val="Calibri"/>
        <family val="2"/>
        <scheme val="minor"/>
      </rPr>
      <t>Fight 6  1-5 Remove Crew from Play. 6+ Crew is Rescued.</t>
    </r>
  </si>
  <si>
    <r>
      <t xml:space="preserve">BUY: 1 FIREARM for $200 less. WORK: </t>
    </r>
    <r>
      <rPr>
        <sz val="10"/>
        <color theme="9" tint="-0.249977111117893"/>
        <rFont val="Calibri"/>
        <family val="2"/>
        <scheme val="minor"/>
      </rPr>
      <t>Fight 9  1-8 Kill a Crew. 9+ Take $200/Soldier or Merc.</t>
    </r>
  </si>
  <si>
    <r>
      <t xml:space="preserve">WORK: </t>
    </r>
    <r>
      <rPr>
        <sz val="10"/>
        <color theme="9" tint="-0.249977111117893"/>
        <rFont val="Calibri"/>
        <family val="2"/>
        <scheme val="minor"/>
      </rPr>
      <t>Fight 8  1-7: Kill a Crew. 8+ Take $400+$100/Merc.</t>
    </r>
    <r>
      <rPr>
        <sz val="10"/>
        <color theme="1"/>
        <rFont val="Calibri"/>
        <family val="2"/>
        <scheme val="minor"/>
      </rPr>
      <t xml:space="preserve"> BUY: Hire up to 2 Mercs.</t>
    </r>
  </si>
  <si>
    <r>
      <t xml:space="preserve">WORK: </t>
    </r>
    <r>
      <rPr>
        <sz val="10"/>
        <color theme="9" tint="-0.249977111117893"/>
        <rFont val="Calibri"/>
        <family val="2"/>
        <scheme val="minor"/>
      </rPr>
      <t>Fight 7  1-6 Kill a Crew. 7+ Load 2 Fugitives or Passengers.</t>
    </r>
    <r>
      <rPr>
        <sz val="10"/>
        <color theme="1"/>
        <rFont val="Calibri"/>
        <family val="2"/>
        <scheme val="minor"/>
      </rPr>
      <t xml:space="preserve"> BUY: Fugitives/Passengers for $400 each.</t>
    </r>
  </si>
  <si>
    <r>
      <t xml:space="preserve">DEAL: Patience. If Solid, remove Disgruntled from all Crew. WORK: </t>
    </r>
    <r>
      <rPr>
        <sz val="10"/>
        <color rgb="FF00B050"/>
        <rFont val="Calibri"/>
        <family val="2"/>
        <scheme val="minor"/>
      </rPr>
      <t>Talk 8  1-7 Warrant Issued. 8+ Take 2 Cargo.</t>
    </r>
  </si>
  <si>
    <t>Negotiate 12 Bribes; 1-11 All FIREARMS are Seized. Attempt Botched. 12+ Proceed.</t>
  </si>
  <si>
    <t>Requires FIREARM. Any Crew carrying a Firearm is now Wanted. Disgruntle all Moral Crew. Proceed.</t>
  </si>
  <si>
    <t>They're Right on Our Tails!</t>
  </si>
  <si>
    <t>Fight 8; 1-7 Warrant Issued. 8+ Proceed.</t>
  </si>
  <si>
    <t>Submit Authorization Form AL342, in Triplicate</t>
  </si>
  <si>
    <t>Each time a player completes a Job, place this card on that Contact's deck. Players may not take a Deal Action with that Contact until this card moves.</t>
  </si>
  <si>
    <t>:::SYSTEM WIDE::: All imported shipments are subject to increased Customs Inspection and Scrutiny.</t>
  </si>
  <si>
    <t>Players do not count as Solid with Harken while this card is in play.</t>
  </si>
  <si>
    <t>PRIVILEGE SUSPENSION</t>
  </si>
  <si>
    <t>Playtest</t>
  </si>
  <si>
    <t>Expansion: The Black Market</t>
  </si>
  <si>
    <t>Brother Moon</t>
  </si>
  <si>
    <t>Brother Sun</t>
  </si>
  <si>
    <t>Elite Merc</t>
  </si>
  <si>
    <t>Hired Gun</t>
  </si>
  <si>
    <t>Kyra</t>
  </si>
  <si>
    <t xml:space="preserve">Long </t>
  </si>
  <si>
    <t>Mr. Snowe</t>
  </si>
  <si>
    <t>Riddick</t>
  </si>
  <si>
    <t>The Negotiator</t>
  </si>
  <si>
    <t>The Wheelman</t>
  </si>
  <si>
    <t>Tong Thug</t>
  </si>
  <si>
    <t>Whisper</t>
  </si>
  <si>
    <t>Celestial Harmony: +[TECH] With Brother Sun in Crew. Jumps ship if Brother Sun leaves the ship.</t>
  </si>
  <si>
    <t>Celestial Harmony: +[FIGHT] With Brother Moon in Crew. Jumps ship if Brother Moon leaves the ship.</t>
  </si>
  <si>
    <t>Teamwork: +[TECH] When you have at least 3 Mercs in your Crew.</t>
  </si>
  <si>
    <t>Pack Hunter: +[FIGHT] When you have at least 3 Mercs in your Crew.</t>
  </si>
  <si>
    <t>Renegade Operative: If Niska collects his Pound of Flesh, Disgruntle Mr. Snowe instead of Killing a Crew.</t>
  </si>
  <si>
    <t>Another Kind of Evil: Disgruntle Riddick to re-roll a skill test. This counts as Immoral. With 2 tokens, Riddick does not Jump Ship: Kill a Crew and remove tokens.</t>
  </si>
  <si>
    <t>Uneasy Alliance: Not subject to Niska's Pound of Flesh when you have at least 3 Tong in your Crew.</t>
  </si>
  <si>
    <t>Getaway Driver: When Carrying a Transport on Jobs, draw 1 fewer Misbehave Card, down to a minimum of 1.</t>
  </si>
  <si>
    <t>Slippery: May not Carry Gear.</t>
  </si>
  <si>
    <t>Breath of Nine Dragons</t>
  </si>
  <si>
    <t>Crew Carrying counts as TONG. +[FIGHT][FIGHT] When you have at least 3 Tong in your Crew.</t>
  </si>
  <si>
    <t>Doctored Manifest</t>
  </si>
  <si>
    <t>Flamethrower</t>
  </si>
  <si>
    <t>Forged Bounty Posting</t>
  </si>
  <si>
    <t>Gunslinger's Duster</t>
  </si>
  <si>
    <t>The Jade Fox's Hat</t>
  </si>
  <si>
    <t>Discard to reshuffle the Misbehave deck.</t>
  </si>
  <si>
    <t>Mercenary Contract</t>
  </si>
  <si>
    <t>From any location, you may use a Buy Action to Hire 1 Merc from any Discard Pile. You may discard when you complete a Job. Do not pay Mercs. Do not Disgruntle unpaid Mercs.</t>
  </si>
  <si>
    <t>Riddick's Ulaks</t>
  </si>
  <si>
    <t>Santana's Box</t>
  </si>
  <si>
    <t>You may use an Action to place a single Bound Fugitive on this card. This count as Immoral. This Bounty cannot be Jumped. You must have Sanatana's Box to drop off. Bounty bonuses from Lawmen do not apply.</t>
  </si>
  <si>
    <t>If you fail a [NEGOTIATING] Test, Warrant Issued. Does not count towards Gear Limit. Bounty Bonus: +$300.</t>
  </si>
  <si>
    <t>Mobile Cryo Tubes</t>
  </si>
  <si>
    <t>Rigged Pulse Beacon</t>
  </si>
  <si>
    <t>Smuggling Compartments</t>
  </si>
  <si>
    <t>When in a Sector with an Alliance Ship, discard to ignorre the Alliance Ship's effects and move the Alliance Ship 1 Sector.</t>
  </si>
  <si>
    <t>2 Additional Stash areas. For each empty Smuggling Compartments slot, 1 Crew or Gear Onboard Ship may ignore Alliance Wanted Crew rolls.</t>
  </si>
  <si>
    <t>Dahl</t>
  </si>
  <si>
    <t>Tranq Shot: When making a [FIGHTING] Test to apprehend a Fugitive, roll two dice and use the highest.</t>
  </si>
  <si>
    <t>Purvis</t>
  </si>
  <si>
    <t>Unlucky: Whenever a Crew is Killed, Purvis must be Killed first.</t>
  </si>
  <si>
    <t>Vriess</t>
  </si>
  <si>
    <t>Five-Fingered Discount: When you Deal with a Contact that you are Solid with, you may take 1 Part.</t>
  </si>
  <si>
    <t>Power Loader</t>
  </si>
  <si>
    <t>Shipping and Smuggling Jobs also count as Salvage Ops. During a Work Action, discard to add +[FIGHT][FIGHT][FIGHT] to a [FIGHTING] Test, after rolling.</t>
  </si>
  <si>
    <t>Corp</t>
  </si>
  <si>
    <t>Johns</t>
  </si>
  <si>
    <t>Blue-Eyed Devil: When Johns becomes Disgruntled, spend a Contraband or Johns Jumps Ship. Bounty Bonus: +$300</t>
  </si>
  <si>
    <t>Pearson</t>
  </si>
  <si>
    <t>Unforgiving: Whenever a Crew is Killed, Wanted Crew must be Killed first. Bounty Bonus: +$500. Will not work Illegal Jobs.</t>
  </si>
  <si>
    <t>Reaver Blades</t>
  </si>
  <si>
    <t>Disgruntle all Moral Crew when used. Counts as a Knife: Discard to add +[FIGHT][FIGHT][FIGHT] to a [FIGHTING] Test, after rolling.</t>
  </si>
  <si>
    <t>Distephano</t>
  </si>
  <si>
    <t>Imam Abu</t>
  </si>
  <si>
    <t>Luna</t>
  </si>
  <si>
    <t>Christie</t>
  </si>
  <si>
    <t>Diaz</t>
  </si>
  <si>
    <t>Eve Logan</t>
  </si>
  <si>
    <t>Johner</t>
  </si>
  <si>
    <t>Fry</t>
  </si>
  <si>
    <t>Hillard</t>
  </si>
  <si>
    <t>Eight</t>
  </si>
  <si>
    <t>Elgyn</t>
  </si>
  <si>
    <t>Boss Johns</t>
  </si>
  <si>
    <t>Sadie Qin</t>
  </si>
  <si>
    <t xml:space="preserve">Santana </t>
  </si>
  <si>
    <t xml:space="preserve">The Jade Fox </t>
  </si>
  <si>
    <t>Toombs</t>
  </si>
  <si>
    <t>Family Bible: Bounty Bonus: $100 per Soldier or Merc in Crew. Re-roll 1s in all [TECHING] Tests when you have at least 3 Mercs or Soldiers in Crew.</t>
  </si>
  <si>
    <t>Tong Princess: May hire Tong at no cost. While Misbehaving, you may Kill a Tong to re-roll a Skill Test.</t>
  </si>
  <si>
    <t>Head Shotcaller: May hire Mercs at no cost. Re-roll 1s in all [NEGOTIATING] Tests when you have at least 3 Mercs or Grifters in your Crew.</t>
  </si>
  <si>
    <t>Living Legend: Tong in your Crew do not become Disgruntled if they are not paid their Cut of successful Illegal Jobs.</t>
  </si>
  <si>
    <t>Atheron</t>
  </si>
  <si>
    <t>Taker: When you complete a Shipping Job, Load 1 Cargo. When you buy at least 2 Gear during a single Action, Buy the cheapest one for free.</t>
  </si>
  <si>
    <t>Master Knife Fighter: +[FIGHT][FIGHT] When Carrying a Knife. May not Carry a Firearm.</t>
  </si>
  <si>
    <t>Dobson</t>
  </si>
  <si>
    <t>Torturer: When Carrying a Knife, you may re-roll 1s in all [NEGOTIATING] Tests. This counts as Immoral.</t>
  </si>
  <si>
    <t>Bounty Hunter: +[FIGHT][FIGHT] When Attacking in [SHOWDOWN]. May Carry 2 Gear. Bounty Bonus: +$500</t>
  </si>
  <si>
    <t>Alliance Connections: If Maxx becomes Wanted, he Jumps Ship. ACE: Check Point, Security Scare, Stop and Frisk</t>
  </si>
  <si>
    <t>Reina</t>
  </si>
  <si>
    <t>Healing Hands: When you make a successful Medic check to save a Crew, you may also remove Disgruntled from that Crew.</t>
  </si>
  <si>
    <t>Hunting Rifle</t>
  </si>
  <si>
    <t>DeSalvo's Equalizers</t>
  </si>
  <si>
    <t>"Retired" E.W.O.: You may use an Action on your turn to add or remove an Alliance Alert token in an adjacent Sector.</t>
  </si>
  <si>
    <t>Range: 4. Unique Core: May not be replaced. May only be used on CanTankerous. 1 Fuel to initiate Full Burn. When initiating Full Burn, spend 1 Part to increase your Max Range by 2 this turn.</t>
  </si>
  <si>
    <t>Ming-Mei</t>
  </si>
  <si>
    <t>Ship Pack: Huntingdon's Bolt</t>
  </si>
  <si>
    <t>Pradeep</t>
  </si>
  <si>
    <t>Chaim</t>
  </si>
  <si>
    <t>Priscilla</t>
  </si>
  <si>
    <t>Escape Pods</t>
  </si>
  <si>
    <t>Parson Zhou</t>
  </si>
  <si>
    <t>Religiosity: When you Make-Work, you may also take a Passenger Token. If Working Immoral Job, Parson Zhou must stay Onboard Ship.</t>
  </si>
  <si>
    <t>Cross</t>
  </si>
  <si>
    <t>Master Transporter: When you complete a Transport Job, take $500.</t>
  </si>
  <si>
    <t>Trick Shot: When Carrying a Firearm, counts as Sniper Rifle.</t>
  </si>
  <si>
    <t>Enforcer: +[NEGOTIATE] When Carrying a Firearm. Counts as an Enforcer.</t>
  </si>
  <si>
    <t>Man of Peace: When you make a Ruthless roll, roll two dice and use the highest. If Working Immoral Job, Imam Abu must stay Onboard Ship.</t>
  </si>
  <si>
    <t>Watermark</t>
  </si>
  <si>
    <t>Background</t>
  </si>
  <si>
    <t>Kalidasa Dragon</t>
  </si>
  <si>
    <t>White</t>
  </si>
  <si>
    <t>Blue</t>
  </si>
  <si>
    <t>Kalidasa Turtle</t>
  </si>
  <si>
    <t>Blue Sun Dragon</t>
  </si>
  <si>
    <t>Alliance Eagle</t>
  </si>
  <si>
    <t>Blue Sun Corp</t>
  </si>
  <si>
    <t>Kalidasa Turtle (Beaumonde), Alliance Eagle (Osiris)</t>
  </si>
  <si>
    <t>Blue/White</t>
  </si>
  <si>
    <t>Altrans Star</t>
  </si>
  <si>
    <t>Walden Crab</t>
  </si>
  <si>
    <t>Silverhold Munitions</t>
  </si>
  <si>
    <t>Altrans Star (Regina), Silverhold Munitions (Silverhold)</t>
  </si>
  <si>
    <t>Kalidasa Turtle (Kalidasa), Silverhold Munitions (Silverhold)</t>
  </si>
  <si>
    <t>Unique - Wagon</t>
  </si>
  <si>
    <t>Esmeralda</t>
  </si>
  <si>
    <t>Altrans Star - always</t>
  </si>
  <si>
    <t>Kalidasa Turtle (B), Blue Sun Corp (P)</t>
  </si>
  <si>
    <t>Early's Lion</t>
  </si>
  <si>
    <t>TG Freight</t>
  </si>
  <si>
    <t>Blue Sun Corp (P), TG Freight (SB)</t>
  </si>
  <si>
    <t>Alliance Eagle (O), TG Freight (SB)</t>
  </si>
  <si>
    <t>Alliance Eagle (O), Blue Sun Corp (P), TG Freight (SB)</t>
  </si>
  <si>
    <t>Silverhold Munitions (S), BSC (P), TG Freight (SB)</t>
  </si>
  <si>
    <t>Kalidasa Turtle (Beaumonde), Altrans Star (Regina, Spacce Bazaar)</t>
  </si>
  <si>
    <t>Altrans Star (Reg), TG Freight (SB)</t>
  </si>
  <si>
    <t>Jetwash</t>
  </si>
  <si>
    <t>Altrans Star (Regina), Silverhold Munitions (Silverhold), TG (SB)</t>
  </si>
  <si>
    <t>Silverhold Munitions (S), BSC (P), TGF (SB)</t>
  </si>
  <si>
    <t>Wash's Dinos</t>
  </si>
  <si>
    <t>Whte</t>
  </si>
  <si>
    <t>Westerley</t>
  </si>
  <si>
    <t>Fresh Produce</t>
  </si>
  <si>
    <t>Petaline</t>
  </si>
  <si>
    <t>The Councilor</t>
  </si>
  <si>
    <t>Haulers</t>
  </si>
  <si>
    <t>Red</t>
  </si>
  <si>
    <t>Haymer</t>
  </si>
  <si>
    <t>Chewbacca</t>
  </si>
  <si>
    <t>"Is That a Wookiee?!?": When you complete a Job with a Soldier bonus, take $300. Not subject to A Better Offer.</t>
  </si>
  <si>
    <t>Han Solo</t>
  </si>
  <si>
    <t>Scoundrel: When you roll Thrillin' Heroics, remove Disgruntled from Han Solo. When Flying, re-roll any Test result of 1.</t>
  </si>
  <si>
    <t>Han Solo's Lucky Dice</t>
  </si>
  <si>
    <t>when you roll Thrillin' Heroics bonus roll, roll two dice and use the highest. Does not count towards Gear Limit.</t>
  </si>
  <si>
    <t>Baze</t>
  </si>
  <si>
    <t>Bodhi Rook</t>
  </si>
  <si>
    <t>Chirrut</t>
  </si>
  <si>
    <t>Lost Way: +[FIGHT][FIGHT] When you have at least 3 Moral Crew in your Crew.</t>
  </si>
  <si>
    <t>Cargo Pilot: You may treat the "Customs Inspection" and "Local Tariff Patrol" Nav Cards as a "Big Black" card instead.</t>
  </si>
  <si>
    <t>I Am One With the Force: Rivals using [FIGHT] in SHOWDOWNS must folllow Kosherized rules. Will not Work Immoral Jobs.</t>
  </si>
  <si>
    <t>Sabacc Game</t>
  </si>
  <si>
    <t>GAMBLING. Discard to Use: Draw 5 Misbehave Cards. Take $200 for each card with a Ace. For each Ace you have, take $500 instead.</t>
  </si>
  <si>
    <t>Cape Armoire</t>
  </si>
  <si>
    <t>Requires Grifter to use. Counts as FAKE ID. Discard to count as Companion.</t>
  </si>
  <si>
    <t>Escape Craft</t>
  </si>
  <si>
    <t>Marauders</t>
  </si>
  <si>
    <t>Raiding Party: +[FIGHT] When Carrying a Transport. +[FIGHT] When Attacking in SHOWDOWN.</t>
  </si>
  <si>
    <t>Rectenna</t>
  </si>
  <si>
    <t>Requires Mechanic to use. Re-roll 1s when resolving Reaver or Alliance Alert Tokens.</t>
  </si>
  <si>
    <t>Val</t>
  </si>
  <si>
    <t>Saboteur: May re-roll [FIGHTING] Tests.</t>
  </si>
  <si>
    <t>Lando</t>
  </si>
  <si>
    <t>Rio Durant</t>
  </si>
  <si>
    <t>L3-37</t>
  </si>
  <si>
    <t>Gambler: When Carrying Gambling Gear on Jobs, double Grifter bonuses.</t>
  </si>
  <si>
    <t>Nimble: When you complete an Illegal Job, you may spend 1 Fuel to Evade.</t>
  </si>
  <si>
    <t>Cassian</t>
  </si>
  <si>
    <t>K-2SO</t>
  </si>
  <si>
    <t>Qi'ra</t>
  </si>
  <si>
    <t>"We’ve All Done Things": Completing an Immoral Job does not Disgruntle Cassian if he is already Disgruntled. Not subject to A Better Offer.</t>
  </si>
  <si>
    <t>?</t>
  </si>
  <si>
    <t>Beckett</t>
  </si>
  <si>
    <t>Enfys Nest</t>
  </si>
  <si>
    <t>Jyn Erso</t>
  </si>
  <si>
    <t>Old Crook: From any location, you may use a Buy Action to hire 1 Wanted Crew with a keyword not already on your Ship from any discard pile.</t>
  </si>
  <si>
    <t>Cloud-Rider: Whenever you win a SHOWDOWN, steal 1 Goods from the targeted Rival.</t>
  </si>
  <si>
    <t>Rebel: You may use an Action on your turn to remove Disgruntled from all Moral Crew.</t>
  </si>
  <si>
    <t>Unique Core: May not be replaced: May only be used on Millennium Falcon. Range: 5. 1 Fuel to Initiate Full Burn. Requires Pilot and Mechanic: After you Evade, you may Mosey 1 Sector.</t>
  </si>
  <si>
    <t>Wild Card Expansion: Rogues &amp; Scoundrels</t>
  </si>
  <si>
    <t>Executive Attache: When you complete a Transport Job, Profession bonuses are doubled.</t>
  </si>
  <si>
    <t>Connected: From any location, you may use a Deal Action to consider and accept one Transport Job from any discard pile.</t>
  </si>
  <si>
    <t>Browncoat Hero: When you Proceed while Misbehaving: Take $200 while in Alliance Space. Otherwise, take $100.</t>
  </si>
  <si>
    <t>Unique Upgrade: May only be used on CanTankerous. When in a Sector with an Alliance Ship, discard to ignore the Alliance Ship's effects and move the Alliance Ship 1 Sector.</t>
  </si>
  <si>
    <t>Gunslinger: When Carrying a Firearm during a Work Action, re-roll 1s in all [NEGOTIATING] Tests.</t>
  </si>
  <si>
    <t>Crack Shot: When Carrying a Sniper Rifle during a Work Action, re-roll 1s on all [FIGHTING] Tests.</t>
  </si>
  <si>
    <t>When you Make-Work in a non-Supply Planetary Sector in Border or Rim Space, you may take 1 Cargo instead of $200.</t>
  </si>
  <si>
    <t>Peel Out: After you Evade, you may move 1 Sector. Resolve Alert Tokens normally but do not draw a Nav Card.</t>
  </si>
  <si>
    <t>Down-Home Cookin': You may use an Action on your turn and discard 1 Cargo or Contraband to remove Disgruntled from all Crew.</t>
  </si>
  <si>
    <t>Surly: If a Breakdown results in a Full Stop or you must spend 1 or more Parts to Keep Flying, Disgruntle Andreas.</t>
  </si>
  <si>
    <t>Discard to pay Bribes on a [NEGOTIATING] Test. Bribes may not be used in [SHOWDOWNS]. -OR- Discard to remove Disgruntled from all Crew.</t>
  </si>
  <si>
    <t>Discard to treat a [FIGHTING] as a [NEGOTIATING] Test. -OR- Discard to count as: ACE: Local Bootleggin' Outfit, Unification Day Festivities</t>
  </si>
  <si>
    <t>Stowaway: First Kid does not count towards Crew Limit. If Killed, Jumps Ship, or Seized by the Alliance, Disgruntle your Leader.</t>
  </si>
  <si>
    <t>Greenhorn: First Kid does not count towards Crew Limit. If Killed or Jumps Ship, Disgruntle your Leader.</t>
  </si>
  <si>
    <t>Demolitions: May not Carry Gear.</t>
  </si>
  <si>
    <t>Combat Master: Roll two dice and use the highest for Kosherzed [FIGHTING] Tests. ACE: All-Out Brawl!</t>
  </si>
  <si>
    <t>Jack Leland's Derringer</t>
  </si>
  <si>
    <t>May be used in Kosherized fights. Does not count towards Gear Limit. Discard to count as an "Ace" for any Misbehave Card: Proceed.</t>
  </si>
  <si>
    <t>GAMBLING. Discard to re-draw a Misbehave Card. If you Proceed, take $500.</t>
  </si>
  <si>
    <t>Renegade: May Hire Wanted Crew at no cost. When you complete an Illegal Job, take $300.</t>
  </si>
  <si>
    <t>Aces High: When you proceed with an "Ace" while Misbehaving, take $300. ACE: Double Dealing, Gambling Den, Invitation Only Gala</t>
  </si>
  <si>
    <t>Rules</t>
  </si>
  <si>
    <t>Setup</t>
  </si>
  <si>
    <t>Boosting Morale Booster</t>
  </si>
  <si>
    <t>This house rule may make the game a little easier by giving added value to many Crew members. *May reduce challenge level*</t>
  </si>
  <si>
    <t>Morale Booster can be a potent special ability, but if you feel it could use a little boost, you may want to use this house rule. *May reduce challenge level*</t>
  </si>
  <si>
    <t>Mercenary Attitudes</t>
  </si>
  <si>
    <t>This house rule makes a merc-heavy Crew more challenging to run. *May increase challenge level*</t>
  </si>
  <si>
    <t>New Profession: Tong</t>
  </si>
  <si>
    <t>Tong represent organized crime and have illicit connections that can help or hinter. Most Tong are Wanted, but having them on your Ship can lead to large bonuses on many of Mr. Black's Jobs. *Best used with The Black Market*</t>
  </si>
  <si>
    <t>Wanted Leaders</t>
  </si>
  <si>
    <t>Wanted Leaders have a small warrant badge on their card, just like Wanted Crew. A Ship with a Wanted Leader is always an Outlaw Ship. *Best used with The Black Market*</t>
  </si>
  <si>
    <t>Unique Fireflies</t>
  </si>
  <si>
    <t>S.S. Walden</t>
  </si>
  <si>
    <t>There may be times, such as when randomly selecting Ships, that you'd like each Firefly to be unique. *May reduce challenge level*</t>
  </si>
  <si>
    <t>The Walden might be a workhorse with plenty cargo capacity, but she also suffers by comparison with most other vessels. *Requires Pirates &amp; Bounty Hunters*</t>
  </si>
  <si>
    <t>Fancible Drive Core/Ship Upgrade Pack</t>
  </si>
  <si>
    <t>Modified Radion Accelerator Mark II (Artful Dodger)</t>
  </si>
  <si>
    <t>Isu-Sim SSP05 (Millennium Falcon)</t>
  </si>
  <si>
    <t>Graviton Accelerator V1 (Aces &amp; Eights)</t>
  </si>
  <si>
    <t>Enhanced Radion Accelerator (White Lightning)</t>
  </si>
  <si>
    <t>Kit-Bashed Drive Core (CanTankerous)</t>
  </si>
  <si>
    <t>Upgraded Echelon LR-6 (Huntingdon's Bolt)</t>
  </si>
  <si>
    <t>Echelon LR-8 Drive Core (Interceptor)</t>
  </si>
  <si>
    <t>Tri-Capissen 28HD (Walden)</t>
  </si>
  <si>
    <t>Radion Accelerator Mark I (Core Game)</t>
  </si>
  <si>
    <t>Graviton Accelerator V1 (Esmeralda)</t>
  </si>
  <si>
    <t>Graviton Accelerator V1 (Jetwash)</t>
  </si>
  <si>
    <t>Cape Armoire (Millennium Falcon, Lando version)</t>
  </si>
  <si>
    <t>Escape Craft (Millennium Falcon, Lando version)</t>
  </si>
  <si>
    <t>Rectenna  (Millennium Falcon, Han version)</t>
  </si>
  <si>
    <t>Smuggling Compartments  (Millennium Falcon, Han version)</t>
  </si>
  <si>
    <t>Rigged Pulse Beacon (CanTankerous)</t>
  </si>
  <si>
    <t>Radion Accelerator Mark I (Serenity)</t>
  </si>
  <si>
    <t>Radion Accelerator Mark I (Bonanza)</t>
  </si>
  <si>
    <t>Radion Accelerator Mark I (Yun Qi)</t>
  </si>
  <si>
    <t>Radion Accelerator Mark I (Bonnie Mae)</t>
  </si>
  <si>
    <t>Engineer's Bay (Walden)</t>
  </si>
  <si>
    <t>2 additional Fuel slots, 2 additional Parts slots. May only hold specificed Goods. +1 to Ship's Max Crew.</t>
  </si>
  <si>
    <t>EVA Suit (Walden)</t>
  </si>
  <si>
    <t>Exterior Cargo Pods (Bonanza)</t>
  </si>
  <si>
    <t>Caravan Pods (Bonnie Mae)</t>
  </si>
  <si>
    <t>Sky Hook (Serenity)</t>
  </si>
  <si>
    <t>Fully Equipped Med Bay (Yun Qi)</t>
  </si>
  <si>
    <t>Must spend 1 additional Fuel to Full Burn.</t>
  </si>
  <si>
    <t>Pay $500 and name a suit. Reveal a Misbehave Card. If the suit matches, take $3000.</t>
  </si>
  <si>
    <t>Do not pay Moral Crew for this Job. Do not Disgruntle unpaid Moral Crew.</t>
  </si>
  <si>
    <t>Tech 7 | 1-6 Warrant Issued! | 7+ Get Paid | OR Use HACKING RIG to Get Paid.</t>
  </si>
  <si>
    <t>Tech 8 | 1-7 Warrant Issued! | 8+ Get Paid | OR Use EXPLOSIVES to Get Paid Half</t>
  </si>
  <si>
    <t>Tech 6 | 1-5 Warrant Issued! | 6+ Get Paid | OR Use EXPLOSIVES to Get Paid Half</t>
  </si>
  <si>
    <t>COMPANION OR | Fight 8 | 1-7 Kill 2 Crew. | 8+ Kill 1 Crew.</t>
  </si>
  <si>
    <t>Fight 9 | 1-8 Kill a Crew, Warrant Issued. | 9+ Proceed.</t>
  </si>
  <si>
    <t>Tech 8 | 1-4 Load 3 Goods | 5-7 Load 6 Goods | 8+ No Limit</t>
  </si>
  <si>
    <t>Fight 7 | 1-6 Attempt Botched. | 7+ Proceed.</t>
  </si>
  <si>
    <t>Angel</t>
  </si>
  <si>
    <t>Niska's Former Bodyguard: If Working a Job for Niska, Angel must stay Onboard Ship.</t>
  </si>
  <si>
    <t>Big Jamoke: May Carry 2 Gear. +[FIGHT] in SHOWDOWN.</t>
  </si>
  <si>
    <t>"Are You With Me?": If Riddick is on your Crew, Riddick and Kyra do not count for Ruthless rolls.</t>
  </si>
  <si>
    <t>Deadly and Unpredictable: When making a [FIGHTING] Test, you may roll two dice and use the highest. Kill a Crew for each 1 rolled.</t>
  </si>
  <si>
    <t>Tong Gangster</t>
  </si>
  <si>
    <t>Red Pole: +[FIGHT] When you have at least 2 Tong in your Crew.</t>
  </si>
  <si>
    <t>"I Mostly Just Hurt People": +[FIGHT][FIGHT] When Disgruntled.</t>
  </si>
  <si>
    <t>Survivor's Guilt: Whenever you Kill Crew, Passengers, or Fugitives, Disgruntle Fry.</t>
  </si>
  <si>
    <t>On Edge: Whenever a [FIGHTING] Test results in a Botch, Disgruntle Hillard.</t>
  </si>
  <si>
    <t>Black Mark: May not hire Crew with the Companion Profession. Trust Fund: Take $100 per turn.</t>
  </si>
  <si>
    <t>Cold and Heartless: When you Complete an Immoral Job, take $500.</t>
  </si>
  <si>
    <t>"We Thought You Were Dead!": You may Kill Eight to Evade the Reaver Cutter or to Count as an ACE for a Misbehave Card that may Kill 2+ Crew. May Carry 2 Gear.</t>
  </si>
  <si>
    <t>Discretion Guaranteed: Wanted Crew not subject to A Better Offer. May re-roll Alliance Wanted Crew rolls.</t>
  </si>
  <si>
    <t>"Four-Way Split!": When a Crew is Killed, you may take their Cost. From any location, you may use a Buy Action to hire one Merc from any discard pile.</t>
  </si>
  <si>
    <t>2 Additional Cargo Hold Areas. May only hold Passengers/Fugitives. For each empty Mobile Cryo Tubes slot, 1 Bounty may not be Jumped or 1 Crew Onboard Ship may ignore Alliance Wanted Crew rolls.</t>
  </si>
  <si>
    <t>Whenever a Soldier is Killed, roll a die: 1-3: Crew is Killed. 4-6: Crew is not Killed.</t>
  </si>
  <si>
    <t>Matchy-Matchy Outfits</t>
  </si>
  <si>
    <t>Onyx Turtle</t>
  </si>
  <si>
    <t>Discard to enter The Black Market. When Carried by Wanted Crew: Crew Carrying counts as TONG. Disgruntle Crew if no longer Carried.</t>
  </si>
  <si>
    <t>Ax Pistol</t>
  </si>
  <si>
    <t>Counts as a Knife: Discard to add +[FIGHT] to a [FIGHTING] Test, after rolling.</t>
  </si>
  <si>
    <t>Cortex Pipe Bomb</t>
  </si>
  <si>
    <t>Discard to draw a new Alliance Alert Card; this rule is now in effect. If there is already an Alert Card in play, replace it with the new Alert.</t>
  </si>
  <si>
    <t>Discard to prevent Fugitives and Contraband from being seized. -OR- Discard when you sell Goods to take an extra $100 per Goods sold.</t>
  </si>
  <si>
    <t>Five-Finger Fillet</t>
  </si>
  <si>
    <t>Spend 1 Fuel before rolling to add +[FIGHT][FIGHT][FIGHT] to a [FIGHTING] Test.</t>
  </si>
  <si>
    <t>During a Corvette Contact, you may discard to remove any 1 Crew from play. -OR- Discard to return a Bounty to the bottom of the Bounty deck.</t>
  </si>
  <si>
    <t>When Carried by Ruthless Crew, re-roll 1s in all [FIGHTING] Tests. Counts as a Knife: Discard to add +[FIGHT][FIGHT] to a [FIGHTING] Test, after rolling.</t>
  </si>
  <si>
    <t>"Borrowed" Fed Badge</t>
  </si>
  <si>
    <t>Christie's Zip Guns</t>
  </si>
  <si>
    <t>May be used in Kosherized Fights. Does not count towards Gear Limit. Discard to re-roll a [FIGHTING] Test.</t>
  </si>
  <si>
    <t>Sapphire Dragon</t>
  </si>
  <si>
    <t>Discard to enter The Black Market. When Carried by Merc: Crew Carrying counts as TONG. Disgruntle Crew if no longer Carried.</t>
  </si>
  <si>
    <t>Discard to count as TRANSPORT. OR When in a Sector with a Reaver Cutter or Alliance Ship, discard to ignore Ship's effects and move that Ship 1 Sector.</t>
  </si>
  <si>
    <t>Requires Knife. Discard to Use: Remove Disgruntled from all Ruthless Crew.</t>
  </si>
  <si>
    <t>Gunnery Rigs</t>
  </si>
  <si>
    <t>Whenever you roll for Wanted Crew, roll a die. If you roll a 1, remove this Ship Upgrade from play. You may spend a Fuel to attempt a Boarding Test using [FIGHT]. +1 to Ship's Max Crew.</t>
  </si>
  <si>
    <t>Tight Quarters</t>
  </si>
  <si>
    <t>+3 to Ship's Max Crew. These Crew must be Mercs.</t>
  </si>
  <si>
    <t>Crimson Dawn Lieutenant: When Dealing with Contacts, you may consider and accept +1 Jobs if at least one is Illegal.</t>
  </si>
  <si>
    <t>Wild Card Expansion: The Mandalorian (S1)</t>
  </si>
  <si>
    <t>Greef</t>
  </si>
  <si>
    <t>Bounty Guild Connections: From any location, you may use a Deal Action to look at the top 3 cards of the Bounty Deck. Replace them in any order.</t>
  </si>
  <si>
    <t>IG-11</t>
  </si>
  <si>
    <t>Burg</t>
  </si>
  <si>
    <t>The Muscle: If Burg is Killed, roll: 1-3: Burg is Killed. 4-6: Burg is not Killed.</t>
  </si>
  <si>
    <t>Fennec</t>
  </si>
  <si>
    <t>Mayfeld</t>
  </si>
  <si>
    <t>Managerial Style: May Carry 2 Gear. If Mayfeld receives a second Disgruntled token, he does not Jump Ship: discard all other Crew instead.</t>
  </si>
  <si>
    <t>Qin</t>
  </si>
  <si>
    <t>"Come on, Be Reasonable": May pay $1000 before a SHOWDOWN: Rival may not use Mercs.</t>
  </si>
  <si>
    <t>Whistling Birds</t>
  </si>
  <si>
    <t>Kuiil</t>
  </si>
  <si>
    <t>Toro</t>
  </si>
  <si>
    <t>"I have spoken": Once per job, may treat a [FIGHTING] as a [TECHING] Test. If Working Immoral Job, Kuiil must stay Onboard Ship.</t>
  </si>
  <si>
    <t>Rookie: On [FIGHTING] Tests, "Thrillin' Heroics" bonus dice do not apply.</t>
  </si>
  <si>
    <t>After completing a Transport Job or Bounty, load 1 Goods.</t>
  </si>
  <si>
    <t>Kuiil's Blurrgs</t>
  </si>
  <si>
    <t>The Armorer</t>
  </si>
  <si>
    <t>The Child</t>
  </si>
  <si>
    <t>"This is the Way": Re-roll 1s for Armor. If Working Immoral Job, The Armorer must stay Onboard Ship.</t>
  </si>
  <si>
    <t>Magic hands: May not Carry Gear. Once per Work Action, you may return The Child to the Ship after a Test to count the roll as a 6 and add Thrillin' Heroics bonus roll.</t>
  </si>
  <si>
    <t>Mandalorian Armor</t>
  </si>
  <si>
    <t>Peli</t>
  </si>
  <si>
    <t>Pit Droids</t>
  </si>
  <si>
    <t>Make Do: After you spend at least 1 Part, load 1 Part.</t>
  </si>
  <si>
    <t>Carbon Freeze Unit</t>
  </si>
  <si>
    <t>2 Additional Stash Areas. May only hold Passengers/Fugitives. Passengers/Fugitives in your Stash and Bound Fugitives cannot be Killed by Reavers.</t>
  </si>
  <si>
    <t>Cara</t>
  </si>
  <si>
    <t>Shock trooper: +[FIGHT][FIGHT] When Rival Crew is larger during SHOWDOWNS.</t>
  </si>
  <si>
    <t>Omera</t>
  </si>
  <si>
    <t>Straight shooter: +[FIGHT] When Carrying a Sniper Rifle.</t>
  </si>
  <si>
    <t>Pulse Rifle</t>
  </si>
  <si>
    <t>Xi'an</t>
  </si>
  <si>
    <t>Concealed Blades: When you discard a Knife Carried by Xi'an, roll a die: 1-3: Discard it normally. 4-6: Keep the Knife.</t>
  </si>
  <si>
    <t>Zero</t>
  </si>
  <si>
    <t>Rough ride: When you chose a Nav Card option that requires a Pilot, roll a die. If you roll a 1, Disgruntle all non-Synthetic Crew.</t>
  </si>
  <si>
    <t>Synthetic</t>
  </si>
  <si>
    <t>Heavy Mandalorian Armor</t>
  </si>
  <si>
    <t>Ran</t>
  </si>
  <si>
    <t>The Mandalorian</t>
  </si>
  <si>
    <t>Behind the scenes: During a Job, you may return Ran to the Ship: draw 1 fewer Misbehave Card, down to a minimum of 1. Profession bonuses still apply.</t>
  </si>
  <si>
    <t>Protector: +[FIGHT][FIGHT] When Defending in SHOWDOWN. May Carry 2 Gear. Bounty Bonus: +1 Goods</t>
  </si>
  <si>
    <t>Modified Radion Accelerator Mark II (Razor Crest)</t>
  </si>
  <si>
    <t>Unique Core: May not be replaced. May only be used on Razor Crest. 1 Fuel to initiate Full Burn.</t>
  </si>
  <si>
    <t>Carbon Freeze Unit (Razor Crest)</t>
  </si>
  <si>
    <t>Weapons Locker (Razor Crest)</t>
  </si>
  <si>
    <t>Security Droid: K-2SO's morality changes to match your leader's.</t>
  </si>
  <si>
    <t>Nav Database: When you initiate a Full Burn, you do not need to draw a Nav Card for the first Sector you move into.</t>
  </si>
  <si>
    <t>To Nurse and Protect: If at least half your Crew is Moral, counts as Moral and Medic. Otherwise: Bounty Bonus +$500.</t>
  </si>
  <si>
    <t>Pit crew: Spent 1 Part before rolling to add +[TECH][TECH][TECH] to a [TECHING] Test.</t>
  </si>
  <si>
    <t>Details 1</t>
  </si>
  <si>
    <t>Details 2</t>
  </si>
  <si>
    <t>Fanty &amp; Mingo</t>
  </si>
  <si>
    <t>When carried by a Soldier or Merc: +[FIGHT][FIGHT] in [SHOWDOWN]. ACE: Old Vendetta</t>
  </si>
  <si>
    <t>Posse: +[FIGHT] in [SHOWDOWN]. Bounty Bonus: +$300. Will not work Illegal Jobs.</t>
  </si>
  <si>
    <t>Fight 8; 1-7 Kill a Crew, Warrant Issued. 8+ Attempt Botched.</t>
  </si>
  <si>
    <t>Negotiate 8 +[NEGOTIATE][NEGOTIATE][NEGOTIATE] with FANCY DUDS; 1-4 Warrant Issued. 5-7 Attempt Botched. 8+ Continue.</t>
  </si>
  <si>
    <t>Fight 10 +[FIGHT][FIGHT][FIGHT] with EXPLOSIVES: 1-9 Kill 1 Crew. Warrant Issued. 10+ Proceed.</t>
  </si>
  <si>
    <t>Tech 7 +[TECH][TECH] with HACKING RIG; 1-6 Warrant Issued. 7+ Proceed.</t>
  </si>
  <si>
    <t>Fight 8 Kosherized Rules; 1-7 Warrant Issued. 8+ Continue.</t>
  </si>
  <si>
    <t>Tech 9 +[TECH][TECH][TECH] with HACKING RIG; 1-8 Warrant Issued. 9+ Proceed.</t>
  </si>
  <si>
    <t>Negotiate 8 -[NEGOTIATE] for each of your Warrants. 1-7 Warrant Issued. 8+ Proceed.</t>
  </si>
  <si>
    <t>Requires at least [FIGHT][FIGHT] from FIREARM Gear: Proceed.</t>
  </si>
  <si>
    <t>Tech 12 +[TECH][TECH] with HACKING RIG; 1-11 Warrant Issued. 12+ Proceed.</t>
  </si>
  <si>
    <t>Negotiate 7 +[NEGOTIATE][NEGOTIATE][NEGOTIATE] with FANCY DUDS; 1-6 Attempt Botched. 7+ Proceed.</t>
  </si>
  <si>
    <t>Tech 7 +[TECH][TECH][TECH] with HACKING RIG; 1-6 Attempt Botched. 7+ Proceed.</t>
  </si>
  <si>
    <t>Negotiate 10; 1-9 [Fight 8; 1-7 Lose 3 Goods. Full Stop. 8+ Evade.] 10+ Keep Flying.</t>
  </si>
  <si>
    <t>Negotiate 7; 1-6 [Fight 8; 1-7 Kill a Crew. Full Stop.  8+ Full Stop.] 7+ Take 1 Crew from Regina's Discard Pile. Keep Flying.</t>
  </si>
  <si>
    <t>Tech 9 Salvage Op; 1-4 Load 1 Goods. Full Stop. 5-8 Load 3 Goods. Full Stop. 9+ Load 5 Goods. Full Stop.</t>
  </si>
  <si>
    <t>Negotiate 7; 1-6 [Fight 8; 1-7 Kill a Crew. Discard 2 Goods. Full Stop. 8+ Evade.] 7+ Keep Flying.</t>
  </si>
  <si>
    <t>Tech 8 Salvage Ops; 1-4 Kill 2 Crew, Load 2 Goods. 5-7 Kill 1 Crew, Load 3 Goods. 8+ Load 5 Goods. --Full Stop.</t>
  </si>
  <si>
    <t>Negotiate 10 Bribes; 1-9 [Fight 8; 1-7 Discard 1 Ship Upgrade, if able. Full Stop.  8+ Evade.] 10+ Keep Flying.</t>
  </si>
  <si>
    <t>Negotiate 8; 1-7 [Fight 8; 1-7 Kill 1 Crew. Warrant Issued. Full Stop. 8+ Evade.] 8+ Keep Flying.</t>
  </si>
  <si>
    <t>Negotiate 6; 1-5 Warrant Issued. Full Stop. Player to right moves Cruiser to adjacent, unoccupied Alliance Sector. 6+ Keep Flying.</t>
  </si>
  <si>
    <t>Moral Crew become Disgruntled. Fight 6; 1-5 Kill a Crew. Full Stop. 6+ Load 3 Contraband. Full Stop.</t>
  </si>
  <si>
    <t>Boarding Test</t>
  </si>
  <si>
    <t>Tech 6 or Negotiate 6 | 1-5 Attempt Botched. | 6+ Boarding Successful.</t>
  </si>
  <si>
    <t>Pelorum, Lux: 3 Cargo. $1500.</t>
  </si>
  <si>
    <t>Zeus, Kalidasa: 2 Cargo. $1400.</t>
  </si>
  <si>
    <t>Zephyr, Kalidasa: 2 Cargo. $1400.</t>
  </si>
  <si>
    <t>Whittier, Kalidasa: 2 Cargo. $1400.</t>
  </si>
  <si>
    <t>Verbena, Kalidasa: 2 Cargo. $1400.</t>
  </si>
  <si>
    <t>Silverhold, Heinlein: 2 Fugi. $1000.</t>
  </si>
  <si>
    <t>Ezra, Georgia: 2 Fugi. $1200.</t>
  </si>
  <si>
    <t>Kerry, Georgia: 4 Contra. $3000.</t>
  </si>
  <si>
    <t>Santo, Qin Shi Huang: Misbehave 2. $1600.</t>
  </si>
  <si>
    <t>Sho-Je Downs, Kalidasa: 3 Contra. $1800.</t>
  </si>
  <si>
    <t>Valentine, White Sun: 3 Parts. $1200.</t>
  </si>
  <si>
    <t>Persephone, Lux: 2 Contra. $1600.</t>
  </si>
  <si>
    <t>Verbena, Kalidasa: 2 Contra. $1400.</t>
  </si>
  <si>
    <t>Three Hills, Georgia: 3 Fugi. $1500.</t>
  </si>
  <si>
    <t>Bellerophon, White Sun: 2 Cargo. $1000.</t>
  </si>
  <si>
    <t>Heaven, Kalidasa: 2 Contra. $1200</t>
  </si>
  <si>
    <t>Pelorum, Lux: 4 Contra. $3000.</t>
  </si>
  <si>
    <t>Bernadette, White Sun: Misbehave 2. $2000.</t>
  </si>
  <si>
    <t>Dually discrete relocations</t>
  </si>
  <si>
    <t>Misbehave 1/3 Contra, 3 Fugi</t>
  </si>
  <si>
    <t>Negotiate  6 | 1-5 Lose Patience Rep. | 6+ Success! Talked Your Way Clear.</t>
  </si>
  <si>
    <t>Tech 6 | 1-5 Lose Duul Rep | 6+ Success! Got Away Clean.</t>
  </si>
  <si>
    <t>Negotiate  6 | 1-5 Lose Badger Rep. | 6+ Success! Talked Your Way Clear.</t>
  </si>
  <si>
    <t>1 Cargo/May Gamble</t>
  </si>
  <si>
    <t>Cargo</t>
  </si>
  <si>
    <t>Stash</t>
  </si>
  <si>
    <t>Range</t>
  </si>
  <si>
    <t>Artful Dodger</t>
  </si>
  <si>
    <t>Walden</t>
  </si>
  <si>
    <t>Interceptor</t>
  </si>
  <si>
    <t>Aces &amp; Eights</t>
  </si>
  <si>
    <t>Game Room</t>
  </si>
  <si>
    <t>White Lightning</t>
  </si>
  <si>
    <t>CanTankerous</t>
  </si>
  <si>
    <t>Betty</t>
  </si>
  <si>
    <t>Razor Crest</t>
  </si>
  <si>
    <t>Serenity</t>
  </si>
  <si>
    <t>Color</t>
  </si>
  <si>
    <t>Orange</t>
  </si>
  <si>
    <t>Upgrade Slots</t>
  </si>
  <si>
    <t>Radion Accelerator Mark I</t>
  </si>
  <si>
    <t>Bonanza</t>
  </si>
  <si>
    <t>Bonnie Mae</t>
  </si>
  <si>
    <t>Yun Qi</t>
  </si>
  <si>
    <t>Yellow (mustard)</t>
  </si>
  <si>
    <t>Blue (dark)</t>
  </si>
  <si>
    <t>Green (drab)</t>
  </si>
  <si>
    <t>Light Blue</t>
  </si>
  <si>
    <t xml:space="preserve">Modified Radion Accelerator Mark II </t>
  </si>
  <si>
    <t>Red (dark)</t>
  </si>
  <si>
    <t>Olive</t>
  </si>
  <si>
    <t>Green (lime)</t>
  </si>
  <si>
    <t>Purple</t>
  </si>
  <si>
    <t>Salvage Scow: Completed Piracy Jobs also count as Salvage Ops.</t>
  </si>
  <si>
    <t>Interloper: May re-roll [TECH] Boarding Tests.</t>
  </si>
  <si>
    <t>Optimal Spec: Each currently installed Ship Upgrade reduces the Interceptor's Drive Core Range by 1.</t>
  </si>
  <si>
    <t>Emergency Nav Assist: Discard a Part to coiunt as Pilot.</t>
  </si>
  <si>
    <t>Graviton Accelerator V1</t>
  </si>
  <si>
    <t>Mobile Refuge: Fugitives on board cannot be seized by the Alliance.</t>
  </si>
  <si>
    <t>Huntingdon's  Bolt</t>
  </si>
  <si>
    <t>Qilin</t>
  </si>
  <si>
    <t>Millennium Falcon</t>
  </si>
  <si>
    <t>Green (bright)</t>
  </si>
  <si>
    <t>Green</t>
  </si>
  <si>
    <t>Cover Story: When Working, you may discard a Gambling Gear to turn a Warrant result into a Botched result.</t>
  </si>
  <si>
    <t>Fearsome Rep: May re-roll [NEGOTIATE] Boarding Tests.</t>
  </si>
  <si>
    <t>May choose one Upgrade: Jubal's Flexible Hold, Boss Johns' Matchy-Matchy Outfits, Toombs' Gunnery Rigs, Santana's Tight Quarters</t>
  </si>
  <si>
    <t>Turquiose (dark)</t>
  </si>
  <si>
    <t>Echelon LR-8 (locked)</t>
  </si>
  <si>
    <t>Graviton Accelerator V1 (locked)</t>
  </si>
  <si>
    <t>Upgraded Echelon LR-6 (locked)</t>
  </si>
  <si>
    <t>Tong Markings: Re-roll 1s when searching for a Blackout Zone</t>
  </si>
  <si>
    <t>Special Rule</t>
  </si>
  <si>
    <t>Upgrade</t>
  </si>
  <si>
    <t>Fully Equipoed Med  Bay</t>
  </si>
  <si>
    <t>Unique Fireflies: May take optional upgrade and increase cost +$600</t>
  </si>
  <si>
    <t>Green (camo)</t>
  </si>
  <si>
    <t>Magnetic Docking Clamps: Re-roll 1s in all Salvage Ops</t>
  </si>
  <si>
    <t>Tan</t>
  </si>
  <si>
    <t>Sky blue</t>
  </si>
  <si>
    <t>Modular Systems: Discard a Part to count as Mechanic</t>
  </si>
  <si>
    <t>Purple (metallic)</t>
  </si>
  <si>
    <t>Enhanced Radion Accelerator (locked)</t>
  </si>
  <si>
    <t>Blue (bright)</t>
  </si>
  <si>
    <t>She's Got It Where It Counts, Kid: During Set-Up, you may select one set of starting Ship Upgrades.</t>
  </si>
  <si>
    <t>Select the "Sabacc" or "Corellian Spike" upgrades, or any two Ship Upgrades with a cost of exactly $1000.</t>
  </si>
  <si>
    <t>Cape Armoire (Sabacc) OR Rectenna (Corellian Spike)</t>
  </si>
  <si>
    <t>Escape Craft (Sabacc) OR Smuggling Compartments (Corellian Spike)</t>
  </si>
  <si>
    <t>Indigo</t>
  </si>
  <si>
    <t>3 Fuel</t>
  </si>
  <si>
    <t>6, 9 Goods</t>
  </si>
  <si>
    <t>4 P/F</t>
  </si>
  <si>
    <t>1 Fuel, 2 P/F</t>
  </si>
  <si>
    <t>Modified Radion Accelerator Mark II (locked)</t>
  </si>
  <si>
    <t>Ghost Registry: During your turn, you may ignore Outlaw status.</t>
  </si>
  <si>
    <t>EVA Suit OR Engineer's Bay</t>
  </si>
  <si>
    <t xml:space="preserve">Tri-Capissen 28 HD (lcoked) </t>
  </si>
  <si>
    <t>Kit-Bashed Drive Core (locked)</t>
  </si>
  <si>
    <t>Isu-Sim SSP05 (locked)</t>
  </si>
  <si>
    <t>Tech 5; 1-4 Attempt Botched. 5+ Proceed.</t>
  </si>
  <si>
    <t>Solid with Amnon Duul</t>
  </si>
  <si>
    <t>Requires Moral to Carry. ACE: An Interesting Day. Discard when you Complete a Job. Do not pay one Merc for the Job. Do not Disgruntle the unpaid Merc.</t>
  </si>
  <si>
    <t>Steady Hand: May Mosey up to 2 Sectors. If Working Immoral Job, Rawhide must stay Onboard Ship. ACE: Kidnapped by Hill Folk</t>
  </si>
  <si>
    <t>Game Room (Aces &amp; Eights)</t>
  </si>
  <si>
    <t>Unique Upgrade: May only be used on Aces &amp; Eights. From any location, you may use a Buy Action to purchase 1 Gear with the "Gambling" Keyword from any discard pile.</t>
  </si>
  <si>
    <t>Range: 5. 1 Fuel to initiate Full Burn.</t>
  </si>
  <si>
    <t>Range: 4. Unique Core: May not be replaced. May only be used on S.S. Walden. 1 Fuel to initiate Full Burn. Immune to Heavy Load penalty.</t>
  </si>
  <si>
    <t>Rumrummer: When you complete a Smuggling Job, load 1 Contraband.</t>
  </si>
  <si>
    <t>+[NEGOTIATE][NEGOTIATE] in [SHOWDOWN]. Counts as a Knife: Discard to add +[FIGHT] to a [FIGHTING] Test, after rolling.</t>
  </si>
  <si>
    <t>Range 6. Unique Core: May not be replaced. May only be used on Huntingdon's Bolt. No Fuel required to initiate Full Burn. When initiating a Full Burn, spend 1 additional Fuel to increase your Max Range by 2 this turn.</t>
  </si>
  <si>
    <t>Palaver: Fanty &amp; Mingo</t>
  </si>
  <si>
    <t>Remove from Play to Use: Draw a card from Fanty &amp; Mingo's Contact deck. If it is a Transport Job, keep it. If not, discard it and draw another card. Repeat until a Transport Job is drawn.</t>
  </si>
  <si>
    <t>Engineer's Bay</t>
  </si>
  <si>
    <t>Meditation Room</t>
  </si>
  <si>
    <t>Requires Moral and [NEGOTIATE] to use. If you draw two "Big Black" Nav Cards in a row while Full Burning, you may remove Disgruntled from all Crew. Limit once per Fly Action.</t>
  </si>
  <si>
    <t>Priscilla's Password Generator</t>
  </si>
  <si>
    <t>During a Work Action, you may discard a Part to add the owner's [NEGOTIATE] to a [TECHING] Test.</t>
  </si>
  <si>
    <t>Security Specialist: When Working a Transport Job, draw 1 fewer Misbehave Card, down to a minimum of 1.</t>
  </si>
  <si>
    <t>Bodyguard's Finery</t>
  </si>
  <si>
    <t>2 Additional Stash areas. May only hold Passengers/Fugitives. Discard to prevent Passengers and Fugitives in Escape Pods from being Seized by the Alliance or Killed by Reavers. Move to Hold or Stash after event is complete.</t>
  </si>
  <si>
    <t>GF9</t>
  </si>
  <si>
    <t>GF9 Promo</t>
  </si>
  <si>
    <t>GWEK</t>
  </si>
  <si>
    <t>GWEK Promo</t>
  </si>
  <si>
    <t>Fight 8 | 1-7 Kill a Crew. Lose Niska Rep. | 8+ Success! Dead Men Don't Squeal.</t>
  </si>
  <si>
    <t>Fight 8 | 1-7 Kill a Crew. Lose Badger Rep. | 8+ Success! Dead Men Don't Squeal.</t>
  </si>
  <si>
    <t>Mud Dog ATV+C244</t>
  </si>
  <si>
    <t>Duct Tape &amp; Prayers: When you discard a Ship Upgrade to use it, you may discard a Part to put a Disgruntled token on it instead. If you use the Ship Upgrade a second time, dsicard it.</t>
  </si>
  <si>
    <t>Saloon Ship: Transport Jobs also count as Smuggling Jobs.</t>
  </si>
  <si>
    <t>Note: If playing with both Blue Sun and Kalidasa, remove one Reaver Cutter card from the combined Rim Space deck.</t>
  </si>
  <si>
    <t>Core</t>
  </si>
  <si>
    <t xml:space="preserve"> I</t>
  </si>
  <si>
    <t>Shuttle</t>
  </si>
  <si>
    <t>Expansion: Still Flying</t>
  </si>
  <si>
    <t>Elizabeth</t>
  </si>
  <si>
    <t>Encrypted Datapad</t>
  </si>
  <si>
    <t>Standard Shuttle</t>
  </si>
  <si>
    <t>Deceptive: If Deceptive Crew are hired by anyone, Remove Elizabeth from Play.</t>
  </si>
  <si>
    <t>Discard and use a Deal Action to Deal with the Capers Deck.</t>
  </si>
  <si>
    <t>Princess</t>
  </si>
  <si>
    <t>Mysterious Crate</t>
  </si>
  <si>
    <t>Mystery Meals</t>
  </si>
  <si>
    <t>Discard to count as 1 Cargo. OR Discard when you draw a Misbehave Card to rename the suit.</t>
  </si>
  <si>
    <t>Doctor's Shuttle</t>
  </si>
  <si>
    <t>Inara's Shuttle</t>
  </si>
  <si>
    <t>Surveyor's Shuttle</t>
  </si>
  <si>
    <t>+2 to Medic Checks. Medic Bonuses are doubled. +1 to Max Crew.</t>
  </si>
  <si>
    <t>Companion Bonuses are doubled. +1 to Max Crew.</t>
  </si>
  <si>
    <t>Once per Fly Action, you may discard and re-draw a Nav Card. You may not discard "Reshuffle" Nav Cards. +1 to Max Crew.</t>
  </si>
  <si>
    <t>Deceptive: If Deceptive Crew are hired by anyone, Remove Princess from Play.</t>
  </si>
  <si>
    <t>Yolonda (replacement)</t>
  </si>
  <si>
    <t>Deceptive: If Deceptive Crew are hired by anyone, Remove Yolonda from Play.</t>
  </si>
  <si>
    <t>Canine Culinarian</t>
  </si>
  <si>
    <t>Live Like Real People: When you pass the Dinosaur, you may remove Disgruntled from a Crew.</t>
  </si>
  <si>
    <t>Discard to count as 1 Cargo or Contraband.</t>
  </si>
  <si>
    <t>Fast Burn Rocket Shuttle</t>
  </si>
  <si>
    <t>Smuggler's Shuttle</t>
  </si>
  <si>
    <t>Bridgit (replacement)</t>
  </si>
  <si>
    <t>Deceptive: If Deceptive Crew are hired by anyone, Remove Bridgit from Play.</t>
  </si>
  <si>
    <t>Many Hands, Light Work: During Salvage Ops, re-roll an Test result of 1.</t>
  </si>
  <si>
    <t>Spend 1 Fuel to take a Work Action in an adjacent Sector. Max Crew: 4. Soldier Bonuses are doubled. (Hold: 2)</t>
  </si>
  <si>
    <t>Spend 1 Fuel to take a Work Action in an adjacent Sector. Max Crew: 4. Grifter Bonuses are doubled. (Stash: 2)</t>
  </si>
  <si>
    <t>Spend 1 Fuel to take a Work Action in an adjacent Sector. Max Crew: 4. May Make Work for $400. (Hold: 2)</t>
  </si>
  <si>
    <t>Good Dogs Cook</t>
  </si>
  <si>
    <t>Saffron (replacement)</t>
  </si>
  <si>
    <t>Deceptive: If Deceptive Crew are hired by anyone, Remove Saffron from Play.</t>
  </si>
  <si>
    <t>Saffron's Lipstick</t>
  </si>
  <si>
    <t>Discard and use a Deal Action to Deal with the Capers Deck OR Discard when you draw a Misbehave to rename the suit.</t>
  </si>
  <si>
    <t>Blondie</t>
  </si>
  <si>
    <t>Deceptive: If Deceptive Crew are hired by anyone, Remove Blondie from Play.</t>
  </si>
  <si>
    <t>Scrapper's Shuttle</t>
  </si>
  <si>
    <t>After a successful Salvage Op, you may Evade. Mechanic Bonuses are doubled. +1 to Max Crew.</t>
  </si>
  <si>
    <t>On the Double: When you load Goods for a Job, you may Evade.</t>
  </si>
  <si>
    <t>Bolles</t>
  </si>
  <si>
    <t>Cap'n Jayne</t>
  </si>
  <si>
    <t>The Pair You Have: If you Proceed past two Misbehave Cards of the same suit in a row while Working a Job, take $500.</t>
  </si>
  <si>
    <t>Collector: When you complete a Caper, take $500. You may ignore the effects of "Tweaked One" besides reshuffling the Capers Deck.</t>
  </si>
  <si>
    <t>Pull Some Strings: At the start of your turn, you may take 1 Gear from any discard pile. Return it at the end of your turn.</t>
  </si>
  <si>
    <t>The Hero of Canton: Mudders in your Crew do not become Disgruntled if they are not paid their Cut of successful Jobs. May Carry 2 Gear.</t>
  </si>
  <si>
    <t>Mama Bear: Grifters in your Crew do not become Disgruntled if they are not paid their Cut of successful Jobs. +[FIGHT][FIGHT] when Defending in SHOWDOWN.</t>
  </si>
  <si>
    <t>Range: 4. Unique Core: May not be replaced. May only be used on S.S. Walden. Spend 1 Fuel to initiate Full Burn. Immune to Heavy Load penalty.</t>
  </si>
  <si>
    <t>Range: 6. 1 Fuel to initiate Full Burn. Whenever a Reaver or Alliance Ship enters your current Sector, you may immediately roll a Dice: 1-2: No effect. 3-6: Evade.</t>
  </si>
  <si>
    <t>Range: 5. 1 to initiate Full Burn.</t>
  </si>
  <si>
    <t>Range: 8. Unique Core: May not be replaced. May only be used Interceptor. No Fuel required to initiate Full Burn.</t>
  </si>
  <si>
    <t>Edlund Aero Model F</t>
  </si>
  <si>
    <t>Range: 5. Unique Core: May not be replaced. May only be used on the Restless Sole. Spend 1 Fuel to initiate Full Burn. May Mosey up to 2 Sectors.</t>
  </si>
  <si>
    <t>Loot Crate: Space Bazaar</t>
  </si>
  <si>
    <t>Loot Crate: Osiris</t>
  </si>
  <si>
    <t>Loot Crate: Persephone</t>
  </si>
  <si>
    <t>Loot Crate: Regina</t>
  </si>
  <si>
    <t>Remove from Play to Use: Draw a card from the Space Bazaar Supply Deck. If it is a Gear Card, keep it. If not, discard it and draw another card. Repeat until a Gear Card is drawn.</t>
  </si>
  <si>
    <t>Remove from Play to Use: Draw a card from the Persephone Supply Deck. If it is a Gear Card, keep it. If not, discard it and draw another card. Repeat until a Gear Card is drawn.</t>
  </si>
  <si>
    <t>Remove from Play to Use: Draw a card from the Regina Supply Deck. If it is a Gear Card, keep it. If not, discard it and draw another card. Repeat until a Gear Card is drawn.</t>
  </si>
  <si>
    <t>Remove from Play to Use: Draw a card from the Osiris Supply Deck. If it is a Gear Card, keep it. If not, discard it and draw another card. Repeat until a Gear Card is drawn.</t>
  </si>
  <si>
    <t>Gabriel Tam</t>
  </si>
  <si>
    <t>Regan Tam</t>
  </si>
  <si>
    <t>Inara's Tea Set</t>
  </si>
  <si>
    <t>Cabott</t>
  </si>
  <si>
    <t>Red Button</t>
  </si>
  <si>
    <t>Alliance Connections: When you complete a Legal Job, take $300. Will not work Illegal Jobs.</t>
  </si>
  <si>
    <t>Discard to re-roll a [NEGOTIATING] Test.</t>
  </si>
  <si>
    <t>Standards: +[NEGOTIATE] when you have no Mudders or Hill Folk in your Crew.</t>
  </si>
  <si>
    <t>If you must discard a SHUTTLE, you may discard this Ship Upgrade instead.</t>
  </si>
  <si>
    <t>River Tam's Combat Boots</t>
  </si>
  <si>
    <t>Banning</t>
  </si>
  <si>
    <t>Belinda</t>
  </si>
  <si>
    <t>When Carried by River Tam, you may discard to pick the result of a Gifted roll.</t>
  </si>
  <si>
    <t>+[NEGOTIATE][NEGOTIATE] when attacking in SHOWDOWN.</t>
  </si>
  <si>
    <t>Broker: Whenever you sell Cargo to a Contact, you may sell it as either Cargo or Contraband.</t>
  </si>
  <si>
    <t>Inara's Knife</t>
  </si>
  <si>
    <t>Jayne's Rain Stick</t>
  </si>
  <si>
    <t>Discard to count as an 'Ace' for "An Interesting Day," "Dockside Scanner," Grumpy Malcontent," or "Local Bootlegging Outfit": Proceed.</t>
  </si>
  <si>
    <t>May be used in Kosherized fights. Does not count towards Gear Limit. Counts as Knife: Discard to add +[FIGHT] to a [FIGHTING] Test, after rolling.</t>
  </si>
  <si>
    <t>EVA Suit (Walden Option 1)</t>
  </si>
  <si>
    <t>Tight Quarters (Interceptor Option 2)</t>
  </si>
  <si>
    <t>+2 to Ship's Max Crew. These Crew must be Mercs or Soldiers. Does not reduce Drive Core Range.</t>
  </si>
  <si>
    <t>Brig (Interceptor Option 1)</t>
  </si>
  <si>
    <t>Engineer's Bay (Walden Option 2)</t>
  </si>
  <si>
    <t>2 additional Stash areas. May only hold Passengers/Fugitives. Passengers/Fugitives in your Stash and Bound Fugitives cannot be Killed by Reavers. Does not reduce Drive Core Range.</t>
  </si>
  <si>
    <t>2 additional Stash areas (Fuel and Parts). May only hold specified Goods. +1 to Ship's Max Crew.</t>
  </si>
  <si>
    <t>Two hearts can get the job done</t>
  </si>
  <si>
    <t>Two out of three ain't bad</t>
  </si>
  <si>
    <t>Two ships passing in the night</t>
  </si>
  <si>
    <t>Needs: Companion, Medic</t>
  </si>
  <si>
    <t>Misbehave 1/1 Cargo, 2 Contra</t>
  </si>
  <si>
    <t>Misbehave 1/Contra, no limit</t>
  </si>
  <si>
    <t>Rival Ship: 1 Cargo. $1000.</t>
  </si>
  <si>
    <t>Two wrongs don't make a right</t>
  </si>
  <si>
    <t>Rival Ship: 4 Contraband. $3000.</t>
  </si>
  <si>
    <t>Harvest, Red Sun: 2 Fugitives. $1000.</t>
  </si>
  <si>
    <t>Leading double lives</t>
  </si>
  <si>
    <t>Bring it on, bring it on!</t>
  </si>
  <si>
    <t>Just gonna embarrass yourself</t>
  </si>
  <si>
    <t>Need to get our bearings</t>
  </si>
  <si>
    <t>Misbehave 1 per 2 Crew on Job</t>
  </si>
  <si>
    <t>Companions and Grifters</t>
  </si>
  <si>
    <t>Mechanics and Pilots</t>
  </si>
  <si>
    <t>1 Goods per Crew on Ship</t>
  </si>
  <si>
    <t>Painful on many levels</t>
  </si>
  <si>
    <t>Pretty, pretty lights</t>
  </si>
  <si>
    <t>Mercs and Soldiers</t>
  </si>
  <si>
    <t>Roll a die: 1-2 [NEGOTIATE] 3-4 [TECH] 5-6 [FIGHT]. Then roll skill test: 1-7 Attempt Botched. 8+ Get Paid.</t>
  </si>
  <si>
    <t>Cortex Alert: Barkeeps</t>
  </si>
  <si>
    <t>Cortex Alert: Big Damn Heroes</t>
  </si>
  <si>
    <t>Deceptive Crew</t>
  </si>
  <si>
    <t>Apprehend/Disgruntle All, Botch</t>
  </si>
  <si>
    <t>Still Flying</t>
  </si>
  <si>
    <t>Can't Get There from Here</t>
  </si>
  <si>
    <t>Femme Fatale</t>
  </si>
  <si>
    <t>Did You Really Make Fresh Bao?</t>
  </si>
  <si>
    <t>Get Your Hands Dirty</t>
  </si>
  <si>
    <t>Treasure Hunt</t>
  </si>
  <si>
    <t>Got Us a Shortcut</t>
  </si>
  <si>
    <t>Requires SHUTTLE. Proceed. Draw 1 fewer Misebehave Card.</t>
  </si>
  <si>
    <t>Having Yourself a Little Supper, Captain?</t>
  </si>
  <si>
    <t>Removed Disgruntled from your Leader. Disgruntle 1 Crew. Proceed.</t>
  </si>
  <si>
    <t>Enough for Everybody</t>
  </si>
  <si>
    <t>Discard 1 Cargo or Congraband. Removed Disgruntled from all Crew. Proceed.</t>
  </si>
  <si>
    <t>It's a Dirty Job</t>
  </si>
  <si>
    <t>Negotiate 7; 1-6 Disgruntle all Crew with FANCY DUDS. Attempt Botched. 7+ Proceed.</t>
  </si>
  <si>
    <t>X Marks the Spot</t>
  </si>
  <si>
    <t>Requires SHUTTLE: Tech 8 Salvage Op; 1-7 Attempt Botched. 8+ Load 3 Goods. Attempt Botched.</t>
  </si>
  <si>
    <t>We Ain't Chasin' No Mirages</t>
  </si>
  <si>
    <t>Somebody's Gotta Do It</t>
  </si>
  <si>
    <t>Not Sure We Can Trust Her.
&gt;&gt;FIRST, Strike a Deal</t>
  </si>
  <si>
    <t>Negotiate 8; 1-7 Attempt Botched. 8+ Continue. If this Job attempt is successful, cut Pay in half, rounded down. Bonuses are unaffected.</t>
  </si>
  <si>
    <t>NEXT, Want to Be Partners?</t>
  </si>
  <si>
    <t>If you have space in your Crew, you may take 1 Deceptive Crew Card from any discard pile. Proceed.</t>
  </si>
  <si>
    <t>Bounty Hunters!</t>
  </si>
  <si>
    <t>My Family Is My Crew</t>
  </si>
  <si>
    <t>Fight 8; 1-7 Kill 1 Crew. Attempt Botched. 8+ Proceed. Remove Disgruntled from all Wanted Crew.</t>
  </si>
  <si>
    <t>Not Worth the Effort</t>
  </si>
  <si>
    <t>Remove 1 Wanted Crew from Play: Proceed.</t>
  </si>
  <si>
    <t>Long Lost Lover</t>
  </si>
  <si>
    <t>Tussle with a Sasquatch</t>
  </si>
  <si>
    <t>Right in the Kisser</t>
  </si>
  <si>
    <t>Pick Up the Captain's Teeth</t>
  </si>
  <si>
    <t>Fight 6 Choose 1 Crew for Fight; 1-5 Disgruntle Chosen Crew. Attempt Botched. 6+ Proceed.</t>
  </si>
  <si>
    <t>Hugs and Kisses</t>
  </si>
  <si>
    <t>Negotiate 7; 1-6 Warrant Issued. 7 Proceed.</t>
  </si>
  <si>
    <t>Fight 6 Kosherized Rules; 1-5 Disgruntle your Leader. Attempt Botched. 6+ Proceed.</t>
  </si>
  <si>
    <t>Y'Old Son-of-a… Com'ere!</t>
  </si>
  <si>
    <t>If you have Moral Crew, Proceed. Otherwise, Attempt Botched.</t>
  </si>
  <si>
    <t>Guard Dogs!</t>
  </si>
  <si>
    <t>Local Emergency</t>
  </si>
  <si>
    <t>Yep... That Went Well</t>
  </si>
  <si>
    <t>Nice Doggie…</t>
  </si>
  <si>
    <t>We Need Your Papers</t>
  </si>
  <si>
    <t>Negotiate 7; 1-6 Disgruntle 1 Crew. Attempt Botched. 7+ Proceed.</t>
  </si>
  <si>
    <t>If you have FAKE ID, Proceed. Otherwise, Negotiate 6; 1-5 Warrant Issued. 6+ Proceed.</t>
  </si>
  <si>
    <t>Time to Put Youi Down, Dog!</t>
  </si>
  <si>
    <t>We'll Pay for Your Assistance</t>
  </si>
  <si>
    <t>Fight 7; 1-6 Attempt Botched. 7+ Disgruntle all Moral Crew. Proceed.</t>
  </si>
  <si>
    <t>Requires SHUTTLE: Take $1000. Attempt Botched.</t>
  </si>
  <si>
    <t>Chuck It in the Garbage</t>
  </si>
  <si>
    <t>Now That's Just Low</t>
  </si>
  <si>
    <t>Can't Take It Out the Front Door. 
&gt;&gt;FIRST, Reprogram the Disposal Bin</t>
  </si>
  <si>
    <t>Negotiate 8; 1-7 Discard 1 Gear Carried by Leader. Attempt Botched. 8+ Proceed.</t>
  </si>
  <si>
    <t>Won't Catch My Crew with Their Trousers Down</t>
  </si>
  <si>
    <t>If you have Companion, Proceed. Otherwise, Tech 8: 1-7 Attempt Botched. 8+ Proceed.</t>
  </si>
  <si>
    <t>Tech 8 +[TECH][TECH] with HACKING RIG; 1-7 Kill 1 Crew. Continue. 8+ Continue.</t>
  </si>
  <si>
    <t>NEXT, Rendezvous with the Bin</t>
  </si>
  <si>
    <t>If you have TRANSPORT, Proceed. Otherwise, Attempt Botched.</t>
  </si>
  <si>
    <t>Promo: 10th Anniversary</t>
  </si>
  <si>
    <t>Promo: Loot Crate</t>
  </si>
  <si>
    <t>Promo: Promo Pack</t>
  </si>
  <si>
    <t>Base Game: Firefly: The Game</t>
  </si>
  <si>
    <t>Expansion: Crime &amp; Punishment</t>
  </si>
  <si>
    <t>Tech 10; 1-4 Attempt Botched. 5-9 +[NEGOTIATE] to next Test, Continue. 10+ +[NEGOTIATE][NEGOTIATE][NEGOTIATE] to next Test, Continue.</t>
  </si>
  <si>
    <t>Diamonds</t>
  </si>
  <si>
    <r>
      <t xml:space="preserve">Negotiate 10 Bribes; 1-4 Swap 2 Goods.  5-9 Swap up to 4 Goods. 10+ Swap up to 5 Goods. </t>
    </r>
    <r>
      <rPr>
        <i/>
        <sz val="9"/>
        <color rgb="FF00B050"/>
        <rFont val="Arial"/>
        <family val="2"/>
      </rPr>
      <t>You may swap any type of Goods for any other type.</t>
    </r>
    <r>
      <rPr>
        <sz val="9"/>
        <color rgb="FF00B050"/>
        <rFont val="Arial"/>
        <family val="2"/>
      </rPr>
      <t xml:space="preserve"> --Full Stop.</t>
    </r>
  </si>
  <si>
    <t>Note: Blue Sun replaces 10 cards Border Space Cards with updated versions, including "changing" 3 Reavers on the Hunt cards to Reavers in Orbit.</t>
  </si>
  <si>
    <t>Blown Catalyzer</t>
  </si>
  <si>
    <t>Wu &amp; Sons Emporium Ship</t>
  </si>
  <si>
    <t>We're Dead in the Water</t>
  </si>
  <si>
    <t>Need to Resupply?</t>
  </si>
  <si>
    <t>I Know Where to Look</t>
  </si>
  <si>
    <t>Requires SHUTTLE and Mechanic: --Discard 1 Fuel. -- Keep Flying.</t>
  </si>
  <si>
    <t>--You may buy Fuel for $200 and Parts for $300 each. --Keep Flying.</t>
  </si>
  <si>
    <t>Rare Ingredients</t>
  </si>
  <si>
    <t>Requires Good Dog Cook or Canine Culinarian: --You may buy up to 3 Contraband for $400 each. --Keep Flying.</t>
  </si>
  <si>
    <t>Fire in the Galley</t>
  </si>
  <si>
    <t>Rough Seas Ahead</t>
  </si>
  <si>
    <t>Put a Lid on It!</t>
  </si>
  <si>
    <t>Pull Together</t>
  </si>
  <si>
    <t>Don't Use Water on That!</t>
  </si>
  <si>
    <t>Fall Apart</t>
  </si>
  <si>
    <t>Requires Good Dogs Cook or Canine Culinarian: --Keep Flying.</t>
  </si>
  <si>
    <t>Requires no Disgruntled Crew: --Keep Flying.</t>
  </si>
  <si>
    <t>Tech 7; 1-6 Discard 3 Goods in Hold. Full Stop. 7+ Keep Flying.</t>
  </si>
  <si>
    <t>--Disgruntle any Crew who are not already Disgruntled. --Full Stop.</t>
  </si>
  <si>
    <t>Why Do I Have a Wife?</t>
  </si>
  <si>
    <t>How Drunk Was I Last Night?</t>
  </si>
  <si>
    <t>Requires no Deceptive Crew: --Keep Flying.</t>
  </si>
  <si>
    <t>You, Sir, Are a Newlywed</t>
  </si>
  <si>
    <t>--If you have space in your Crew, take 1 Deceptive Crew Cards from any discard pile, for free, --Full Stop.</t>
  </si>
  <si>
    <t>A Nothing Part Until You Don't Have It</t>
  </si>
  <si>
    <t>Devil Woman</t>
  </si>
  <si>
    <t>Cobble Something Together</t>
  </si>
  <si>
    <t>Crisis Averted</t>
  </si>
  <si>
    <t>Scrounge for Parts</t>
  </si>
  <si>
    <t>It Was Only a Matter of Time</t>
  </si>
  <si>
    <t>Requires SHUTTLE: --Discard 1 Fuel and Spend $400. --Keep Flying.</t>
  </si>
  <si>
    <t>--Negotiate 12 Bribes; 1-11 Discard Deceptive Crew and SHUTTLE. Full Stop. 12+ Keep Flying.</t>
  </si>
  <si>
    <t>Shopping Trip</t>
  </si>
  <si>
    <t>Troubled Waters</t>
  </si>
  <si>
    <t>Not Worth My Time</t>
  </si>
  <si>
    <t>Quick Fix</t>
  </si>
  <si>
    <t>Secret Herbs and Spices</t>
  </si>
  <si>
    <t>We Can Work It Out</t>
  </si>
  <si>
    <t>--Discard 1 Goods to Keep Flying.</t>
  </si>
  <si>
    <t>Requires SHUTTLE and Good Dogs Cook or Canine Culinarian: --Salvage Op: Load 3 Contraband. --Full Stop.</t>
  </si>
  <si>
    <t>--Pay each Disgruntled Crew an extra Cut now or discard them. --Full Stop.</t>
  </si>
  <si>
    <t>We're In Space! How Did She Get Here?</t>
  </si>
  <si>
    <t>She Hid</t>
  </si>
  <si>
    <t>--Discard 1 Goods to take 1 Deceptive Crew Card from any discard pile, for free. --Keep Flying.</t>
  </si>
  <si>
    <t>I Don't Recall Pulling Over</t>
  </si>
  <si>
    <t>A Ping in the Black</t>
  </si>
  <si>
    <t>Life Support Ain't Even On</t>
  </si>
  <si>
    <t>It's Just Static</t>
  </si>
  <si>
    <t>All Wanting to Breathe…</t>
  </si>
  <si>
    <t>Just a Little Stress</t>
  </si>
  <si>
    <t>--Keep Flying</t>
  </si>
  <si>
    <t>Send Out a Scout</t>
  </si>
  <si>
    <t>Shuttle's Got Heat and Air</t>
  </si>
  <si>
    <t>Mutiny!</t>
  </si>
  <si>
    <t>Requires SHUTTLE: --Salvage Op: Load 4 Goods. --Full Stop.</t>
  </si>
  <si>
    <t>--Tech 5; 1-4 Kill 1 Crew. Full Stop. 5+ Keep Flying.</t>
  </si>
  <si>
    <t>Requires SHUTTLE: --Evade.</t>
  </si>
  <si>
    <t>--Negotiate 12 Bribes; 1-11 Discard all Disgruntled Crew and SHUTTLE. Full Stop. 12+ Keep Flying.</t>
  </si>
  <si>
    <t>Mutiny on the Bounty</t>
  </si>
  <si>
    <t>Seriously, You Gotta Give Me a Ride</t>
  </si>
  <si>
    <t>Soup's On</t>
  </si>
  <si>
    <t>I Don't Trust Her</t>
  </si>
  <si>
    <t>Hey, Free Soup!</t>
  </si>
  <si>
    <t>Kitchen's Closed</t>
  </si>
  <si>
    <t>She Won't Make Trouble</t>
  </si>
  <si>
    <t>Requires Good Dogs Cook or Canine Culinarian: --Remove Disgruntled from all Crew. --Keep Flying.</t>
  </si>
  <si>
    <t>--If you have space in your Czrew, take 1 Deceptive Crew from any dsicard pile, for free. --Full Stop.</t>
  </si>
  <si>
    <t>--Negotiate 9 Bribes; 1-8 5 Goods not in Stash are seized. Full Stop. 9+ Keep Flying.</t>
  </si>
  <si>
    <t>--Negotiate 6; 1-5 Load 1 Goods; 6+ SALVAGE OP: Load 3 Goods. -- Full Stop.</t>
  </si>
  <si>
    <t>A Little Honest Smuggling</t>
  </si>
  <si>
    <t>Angelic Rocks</t>
  </si>
  <si>
    <t>Heavenly Rocks</t>
  </si>
  <si>
    <t>Pick Up This Leg of the Run</t>
  </si>
  <si>
    <t>3 Contra, 1 Cargo</t>
  </si>
  <si>
    <t>Rival Ship. 1 Cargo. 2 Contra.</t>
  </si>
  <si>
    <t>Two Ships Like Outs</t>
  </si>
  <si>
    <t>Mud Pipeline: Pelorum</t>
  </si>
  <si>
    <t>Mud Run: Dragon's Egg</t>
  </si>
  <si>
    <t>Mud Run: Verbena</t>
  </si>
  <si>
    <t>Mudder's Grab: Deadwood</t>
  </si>
  <si>
    <t>Mudder's Grab: New Canaan</t>
  </si>
  <si>
    <t>Osiris, White Sun: 2 Cargo. $1400.</t>
  </si>
  <si>
    <t>Space Bazaar, Red Sun: 2 Cargo. $1400.</t>
  </si>
  <si>
    <t>Capers</t>
  </si>
  <si>
    <t>A Better Hand of Cards</t>
  </si>
  <si>
    <t>A Few Choice Fish</t>
  </si>
  <si>
    <t>A Fortune on a Gold Platter</t>
  </si>
  <si>
    <t>A Psychotic Blushing Bride</t>
  </si>
  <si>
    <t>A Special Hell</t>
  </si>
  <si>
    <t>All Naked and Articulate</t>
  </si>
  <si>
    <t>Armored Coach Robbery</t>
  </si>
  <si>
    <t>Completely Off Your Nut</t>
  </si>
  <si>
    <t>+Cargo/Club</t>
  </si>
  <si>
    <t>Good Bible</t>
  </si>
  <si>
    <t>+Goods/Spade</t>
  </si>
  <si>
    <t>Good Myth</t>
  </si>
  <si>
    <t>I Could Be Useful on a Ranch</t>
  </si>
  <si>
    <t>If I Had Everything…</t>
  </si>
  <si>
    <t>Night, Sweetie</t>
  </si>
  <si>
    <t>So Glamourous and Strange</t>
  </si>
  <si>
    <t>Something Not Petty</t>
  </si>
  <si>
    <t>Stealing a Man's Beard</t>
  </si>
  <si>
    <t>That Buys You Nothing</t>
  </si>
  <si>
    <t>The Cursed Treasure of Frisco</t>
  </si>
  <si>
    <t>The Distant Dynasties Heist</t>
  </si>
  <si>
    <t>The Lassiter</t>
  </si>
  <si>
    <t>Tough Nut to Crack</t>
  </si>
  <si>
    <t>Write Your Own Prescription</t>
  </si>
  <si>
    <t>You Screwed That Royal</t>
  </si>
  <si>
    <t>Caper</t>
  </si>
  <si>
    <t>Try Your Luck</t>
  </si>
  <si>
    <t>Head Downriver</t>
  </si>
  <si>
    <t>Help Yourself</t>
  </si>
  <si>
    <t>Treat Yourself</t>
  </si>
  <si>
    <t>Get Played</t>
  </si>
  <si>
    <t>Play Parts</t>
  </si>
  <si>
    <t>Whisker Whack</t>
  </si>
  <si>
    <t>Repent Another Day</t>
  </si>
  <si>
    <t>Count the Change</t>
  </si>
  <si>
    <t>Needs: SHUTTLE or Solid Rep with Patience</t>
  </si>
  <si>
    <t>If the card suits of 2 or more of the Misbehave Cards passed match, take +2000.</t>
  </si>
  <si>
    <t>Saffron +500</t>
  </si>
  <si>
    <t>+500/Diamond</t>
  </si>
  <si>
    <t>Elizabeth +500</t>
  </si>
  <si>
    <t>+500/Spade</t>
  </si>
  <si>
    <t>Blondie +500</t>
  </si>
  <si>
    <t>+1000/Diamond</t>
  </si>
  <si>
    <t>+1000/Heart</t>
  </si>
  <si>
    <t>Princess +500</t>
  </si>
  <si>
    <t>Bridgit +500</t>
  </si>
  <si>
    <t>Yolonda +500</t>
  </si>
  <si>
    <t>+1000/Club</t>
  </si>
  <si>
    <t>+500/Club</t>
  </si>
  <si>
    <t>Negotiate 8 | 1-5 -1000 to Pay | 6-7 +0 to Pay | 8+ $1000 to Pay</t>
  </si>
  <si>
    <t>Negotiate 6 | 1-3 -500 Pay | 4-5 +0 Pay | 6+ +500 Pay</t>
  </si>
  <si>
    <t>-500/Heart</t>
  </si>
  <si>
    <t>-1000/Heart</t>
  </si>
  <si>
    <t>-500/Spade</t>
  </si>
  <si>
    <t>-1000/Diamond</t>
  </si>
  <si>
    <t>-1000/Club</t>
  </si>
  <si>
    <t>-500/Club</t>
  </si>
  <si>
    <t>Tweaked One</t>
  </si>
  <si>
    <t>RESHUFFLE</t>
  </si>
  <si>
    <t>[FIGHT] 8
1-7 Discard Deceptive Crew and 1 FIREARM.
8+ Disgruntle Deceptive Crew.</t>
  </si>
  <si>
    <t>[TECH] 8
1-7 Warrant Issued.
8+ Get Paid.
OR
Use EXPLOSIVES to Get Paid half.</t>
  </si>
  <si>
    <t>[TECH] 9
1-4 Load 1 Contraband
5-8 Load 2 Contraband
9+ Load 3 Contraband</t>
  </si>
  <si>
    <t>[TECH] 9
1-4 Load 1 Cargo
5-8 Load 2 Cargo
9+ Load 3 Cargo</t>
  </si>
  <si>
    <t>[FIGHT] 8
1-7 Kill 2 Crew. Attempt Botched. 
8+ Proceed. Double base pay if Solid with Mr. Universe.</t>
  </si>
  <si>
    <t>FAKE ID
OR
[NEGOTIATE] 8
1-7 Kill 1 Crew. Warrant Issued.
8+ Get Paid.</t>
  </si>
  <si>
    <t>MEDIC
OR
Flip over 3 Misbehave Cards. Disgruntle 2 Crew for each Heart revealed.</t>
  </si>
  <si>
    <t>I'd Forgotten His Name</t>
  </si>
  <si>
    <t>[NEGOTIATE] 10
1-9 Discard Deceptive Crew. Cut Base Pay in Half.
10+ Disgruntle Deceptive Crew.</t>
  </si>
  <si>
    <t>FANCY DUDS
OR
[NEGOTIATE] 8
1-7 Kill 1 Crew. Warrant Issued.
8+ Get Paid.</t>
  </si>
  <si>
    <t>SHUTTLE
OR
Flip over 3 Misbehave Cards. Kill 1 Crew for each Spade revealed.</t>
  </si>
  <si>
    <t>Flip over 3 Misbehave Cards. If a Heart is revealed, Crew is now Wanted.</t>
  </si>
  <si>
    <t>If the card suits of 2 of the Misbehave Cards passed match, take +$2000. If 3 match, take +$3000. If 4 match, take +$4000.</t>
  </si>
  <si>
    <t>OR
Flip over 3 Misbehave Cards. Kill 1 Crew for each Spade revealed.</t>
  </si>
  <si>
    <t>[NEGOTIATE] 10
1-9 Discard Deceptive Crew. Cut base pay in half.
10+ Disgruntle Deceptive Crew.</t>
  </si>
  <si>
    <t>SHE HUMPED US HARD
The player to your right must move your Ship 1 Sector.
[TECH] 8
1-7 Deceptive Crew Jumps Ship. Discard SHUTTLE.
8 Deceptived Crew Jumps Ship.</t>
  </si>
  <si>
    <t>YOU DON'T PLAY A PLAYER
Requires non-Deceptive Companion.
[NEGOTIATE] 10 Bribes
1-9 Deceptive Crew Jumps Ship.
10+ Disgruntle Deceptive Crew.</t>
  </si>
  <si>
    <t>Resolve immediately, If Deceptive Crew does not Jump Ship, continue with Deal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</si>
</sst>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39" x14ac:knownFonts="1">
    <font>
      <sz val="11"/>
      <color theme="1"/>
      <name val="Calibri"/>
      <family val="2"/>
      <scheme val="minor"/>
    </font>
    <font>
      <b/>
      <sz val="9"/>
      <color theme="1"/>
      <name val="Calibri"/>
      <family val="2"/>
      <scheme val="minor"/>
    </font>
    <font>
      <sz val="9"/>
      <color theme="1"/>
      <name val="Calibri"/>
      <family val="2"/>
      <scheme val="minor"/>
    </font>
    <font>
      <b/>
      <sz val="8"/>
      <color theme="1"/>
      <name val="Calibri"/>
      <family val="2"/>
      <scheme val="minor"/>
    </font>
    <font>
      <sz val="8"/>
      <color theme="1"/>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color theme="1"/>
      <name val="Calibri"/>
      <family val="2"/>
      <scheme val="minor"/>
    </font>
    <font>
      <sz val="8"/>
      <color rgb="FF00B050"/>
      <name val="Calibri"/>
      <family val="2"/>
      <scheme val="minor"/>
    </font>
    <font>
      <sz val="8"/>
      <color theme="9" tint="-0.249977111117893"/>
      <name val="Calibri"/>
      <family val="2"/>
      <scheme val="minor"/>
    </font>
    <font>
      <sz val="9"/>
      <color rgb="FF000000"/>
      <name val="Verdana"/>
      <family val="2"/>
    </font>
    <font>
      <i/>
      <sz val="8"/>
      <color theme="1"/>
      <name val="Calibri"/>
      <family val="2"/>
      <scheme val="minor"/>
    </font>
    <font>
      <sz val="8"/>
      <color theme="3" tint="0.39997558519241921"/>
      <name val="Calibri"/>
      <family val="2"/>
      <scheme val="minor"/>
    </font>
    <font>
      <sz val="10"/>
      <color theme="0"/>
      <name val="Calibri"/>
      <family val="2"/>
      <scheme val="minor"/>
    </font>
    <font>
      <sz val="7"/>
      <color theme="1"/>
      <name val="Calibri"/>
      <family val="2"/>
      <scheme val="minor"/>
    </font>
    <font>
      <sz val="10"/>
      <color theme="9" tint="-0.249977111117893"/>
      <name val="Calibri"/>
      <family val="2"/>
      <scheme val="minor"/>
    </font>
    <font>
      <sz val="10"/>
      <color theme="3"/>
      <name val="Calibri"/>
      <family val="2"/>
      <scheme val="minor"/>
    </font>
    <font>
      <sz val="10"/>
      <color rgb="FF00B050"/>
      <name val="Calibri"/>
      <family val="2"/>
      <scheme val="minor"/>
    </font>
    <font>
      <b/>
      <sz val="10"/>
      <color theme="0"/>
      <name val="Calibri"/>
      <family val="2"/>
      <scheme val="minor"/>
    </font>
    <font>
      <b/>
      <sz val="10"/>
      <color rgb="FFFF0000"/>
      <name val="Calibri"/>
      <family val="2"/>
      <scheme val="minor"/>
    </font>
    <font>
      <sz val="10"/>
      <color theme="3" tint="0.39997558519241921"/>
      <name val="Calibri"/>
      <family val="2"/>
      <scheme val="minor"/>
    </font>
    <font>
      <i/>
      <sz val="10"/>
      <color theme="1"/>
      <name val="Calibri"/>
      <family val="2"/>
      <scheme val="minor"/>
    </font>
    <font>
      <b/>
      <sz val="9"/>
      <color theme="0"/>
      <name val="Calibri"/>
      <family val="2"/>
      <scheme val="minor"/>
    </font>
    <font>
      <b/>
      <sz val="9"/>
      <name val="Arial"/>
      <family val="2"/>
    </font>
    <font>
      <sz val="9"/>
      <name val="Arial"/>
      <family val="2"/>
    </font>
    <font>
      <b/>
      <sz val="9"/>
      <color theme="1"/>
      <name val="Arial"/>
      <family val="2"/>
    </font>
    <font>
      <sz val="9"/>
      <color theme="1"/>
      <name val="Arial"/>
      <family val="2"/>
    </font>
    <font>
      <sz val="9"/>
      <color theme="9" tint="-0.249977111117893"/>
      <name val="Arial"/>
      <family val="2"/>
    </font>
    <font>
      <sz val="9"/>
      <color rgb="FF00B050"/>
      <name val="Arial"/>
      <family val="2"/>
    </font>
    <font>
      <sz val="9"/>
      <color theme="0"/>
      <name val="Arial"/>
      <family val="2"/>
    </font>
    <font>
      <sz val="9"/>
      <color theme="4"/>
      <name val="Arial"/>
      <family val="2"/>
    </font>
    <font>
      <b/>
      <sz val="9"/>
      <color theme="9" tint="-0.249977111117893"/>
      <name val="Arial"/>
      <family val="2"/>
    </font>
    <font>
      <b/>
      <sz val="9"/>
      <color theme="4"/>
      <name val="Arial"/>
      <family val="2"/>
    </font>
    <font>
      <b/>
      <sz val="9"/>
      <color rgb="FF00B050"/>
      <name val="Arial"/>
      <family val="2"/>
    </font>
    <font>
      <b/>
      <sz val="9"/>
      <color theme="0"/>
      <name val="Arial"/>
      <family val="2"/>
    </font>
    <font>
      <i/>
      <sz val="9"/>
      <color rgb="FF00B050"/>
      <name val="Arial"/>
      <family val="2"/>
    </font>
    <font>
      <sz val="9"/>
      <color rgb="FF000000"/>
      <name val="Arial"/>
      <family val="2"/>
    </font>
    <font>
      <sz val="9"/>
      <color theme="6" tint="-0.249977111117893"/>
      <name val="Arial"/>
      <family val="2"/>
    </font>
  </fonts>
  <fills count="32">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9" tint="-0.2499465926084170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9" tint="-0.249977111117893"/>
        <bgColor indexed="64"/>
      </patternFill>
    </fill>
    <fill>
      <patternFill patternType="solid">
        <fgColor theme="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rgb="FFCC99FF"/>
        <bgColor indexed="64"/>
      </patternFill>
    </fill>
    <fill>
      <patternFill patternType="solid">
        <fgColor theme="4" tint="-0.249977111117893"/>
        <bgColor indexed="64"/>
      </patternFill>
    </fill>
    <fill>
      <patternFill patternType="solid">
        <fgColor theme="3" tint="0.39994506668294322"/>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rgb="FF00206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1" tint="0.34998626667073579"/>
        <bgColor indexed="64"/>
      </patternFill>
    </fill>
  </fills>
  <borders count="24">
    <border>
      <left/>
      <right/>
      <top/>
      <bottom/>
      <diagonal/>
    </border>
    <border>
      <left style="thick">
        <color auto="1"/>
      </left>
      <right/>
      <top/>
      <bottom/>
      <diagonal/>
    </border>
    <border>
      <left/>
      <right style="thick">
        <color auto="1"/>
      </right>
      <top/>
      <bottom/>
      <diagonal/>
    </border>
    <border>
      <left/>
      <right/>
      <top style="thick">
        <color auto="1"/>
      </top>
      <bottom/>
      <diagonal/>
    </border>
    <border>
      <left/>
      <right/>
      <top/>
      <bottom style="thick">
        <color auto="1"/>
      </bottom>
      <diagonal/>
    </border>
    <border>
      <left style="double">
        <color auto="1"/>
      </left>
      <right/>
      <top/>
      <bottom/>
      <diagonal/>
    </border>
    <border>
      <left/>
      <right style="double">
        <color auto="1"/>
      </right>
      <top/>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bottom style="thin">
        <color auto="1"/>
      </bottom>
      <diagonal/>
    </border>
    <border>
      <left/>
      <right/>
      <top/>
      <bottom style="thin">
        <color auto="1"/>
      </bottom>
      <diagonal/>
    </border>
    <border>
      <left/>
      <right style="thick">
        <color auto="1"/>
      </right>
      <top/>
      <bottom style="thin">
        <color auto="1"/>
      </bottom>
      <diagonal/>
    </border>
    <border>
      <left style="thick">
        <color auto="1"/>
      </left>
      <right style="thick">
        <color auto="1"/>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s>
  <cellStyleXfs count="1">
    <xf numFmtId="0" fontId="0" fillId="0" borderId="0"/>
  </cellStyleXfs>
  <cellXfs count="273">
    <xf numFmtId="0" fontId="0" fillId="0" borderId="0" xfId="0"/>
    <xf numFmtId="0" fontId="5" fillId="0" borderId="0" xfId="0" applyFont="1" applyAlignment="1">
      <alignment wrapText="1"/>
    </xf>
    <xf numFmtId="0" fontId="6" fillId="11" borderId="0" xfId="0" applyFont="1" applyFill="1" applyAlignment="1">
      <alignment wrapText="1"/>
    </xf>
    <xf numFmtId="0" fontId="7" fillId="0" borderId="0" xfId="0" applyFont="1" applyAlignment="1">
      <alignment wrapText="1"/>
    </xf>
    <xf numFmtId="0" fontId="6" fillId="0" borderId="0" xfId="0" applyFont="1" applyAlignment="1">
      <alignment wrapText="1"/>
    </xf>
    <xf numFmtId="0" fontId="6" fillId="12" borderId="0" xfId="0" applyFont="1" applyFill="1" applyAlignment="1">
      <alignment wrapText="1"/>
    </xf>
    <xf numFmtId="0" fontId="6" fillId="12" borderId="0" xfId="0" quotePrefix="1" applyFont="1" applyFill="1" applyAlignment="1">
      <alignment wrapText="1"/>
    </xf>
    <xf numFmtId="0" fontId="8" fillId="0" borderId="0" xfId="0" applyFont="1" applyAlignment="1">
      <alignment wrapText="1"/>
    </xf>
    <xf numFmtId="0" fontId="2" fillId="0" borderId="0" xfId="0" applyFont="1" applyAlignment="1">
      <alignment wrapText="1"/>
    </xf>
    <xf numFmtId="0" fontId="11" fillId="0" borderId="0" xfId="0" applyFont="1" applyAlignment="1">
      <alignment wrapText="1"/>
    </xf>
    <xf numFmtId="0" fontId="1" fillId="0" borderId="0" xfId="0" applyFont="1" applyAlignment="1">
      <alignment wrapText="1"/>
    </xf>
    <xf numFmtId="0" fontId="6" fillId="5" borderId="0" xfId="0" applyFont="1" applyFill="1" applyAlignment="1">
      <alignment wrapText="1"/>
    </xf>
    <xf numFmtId="0" fontId="7" fillId="5" borderId="0" xfId="0" applyFont="1" applyFill="1" applyAlignment="1">
      <alignment wrapText="1"/>
    </xf>
    <xf numFmtId="8" fontId="2" fillId="0" borderId="0" xfId="0" applyNumberFormat="1" applyFont="1" applyAlignment="1">
      <alignment wrapText="1"/>
    </xf>
    <xf numFmtId="0" fontId="2" fillId="7" borderId="0" xfId="0" applyFont="1" applyFill="1" applyAlignment="1">
      <alignment wrapText="1"/>
    </xf>
    <xf numFmtId="0" fontId="2" fillId="15" borderId="0" xfId="0" applyFont="1" applyFill="1" applyAlignment="1">
      <alignment wrapText="1"/>
    </xf>
    <xf numFmtId="0" fontId="2" fillId="6" borderId="0" xfId="0" applyFont="1" applyFill="1" applyAlignment="1">
      <alignment wrapText="1"/>
    </xf>
    <xf numFmtId="0" fontId="0" fillId="0" borderId="0" xfId="0" applyAlignment="1">
      <alignment wrapText="1"/>
    </xf>
    <xf numFmtId="0" fontId="11" fillId="0" borderId="0" xfId="0" applyFont="1"/>
    <xf numFmtId="0" fontId="3" fillId="0" borderId="0" xfId="0" applyFont="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12" fillId="0" borderId="0" xfId="0" applyFont="1" applyAlignment="1">
      <alignment horizontal="left" vertical="top" wrapText="1"/>
    </xf>
    <xf numFmtId="0" fontId="4" fillId="0" borderId="0" xfId="0" applyFont="1" applyAlignment="1">
      <alignment horizontal="left" vertical="top" wrapText="1"/>
    </xf>
    <xf numFmtId="0" fontId="12" fillId="0" borderId="7" xfId="0" applyFont="1" applyBorder="1" applyAlignment="1">
      <alignment horizontal="left" vertical="top" wrapText="1"/>
    </xf>
    <xf numFmtId="0" fontId="4" fillId="0" borderId="8" xfId="0" applyFont="1" applyBorder="1"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0" fillId="0" borderId="8" xfId="0" applyFont="1" applyBorder="1" applyAlignment="1">
      <alignment horizontal="left" vertical="top" wrapText="1"/>
    </xf>
    <xf numFmtId="0" fontId="13" fillId="0" borderId="8" xfId="0" applyFont="1" applyBorder="1" applyAlignment="1">
      <alignment horizontal="left" vertical="top" wrapText="1"/>
    </xf>
    <xf numFmtId="0" fontId="5" fillId="0" borderId="0" xfId="0" applyFont="1" applyAlignment="1">
      <alignment vertical="top" wrapText="1"/>
    </xf>
    <xf numFmtId="0" fontId="5" fillId="3" borderId="0" xfId="0" applyFont="1" applyFill="1" applyAlignment="1">
      <alignment horizontal="center" vertical="top" textRotation="90" wrapText="1"/>
    </xf>
    <xf numFmtId="0" fontId="5" fillId="0" borderId="0" xfId="0" applyFont="1" applyAlignment="1">
      <alignment horizontal="center" vertical="top" textRotation="90" wrapText="1"/>
    </xf>
    <xf numFmtId="0" fontId="5" fillId="16" borderId="1" xfId="0" applyFont="1" applyFill="1" applyBorder="1" applyAlignment="1">
      <alignment horizontal="center" vertical="top" textRotation="90" wrapText="1"/>
    </xf>
    <xf numFmtId="0" fontId="5" fillId="14" borderId="0" xfId="0" applyFont="1" applyFill="1" applyAlignment="1">
      <alignment horizontal="center" vertical="top" textRotation="90" wrapText="1"/>
    </xf>
    <xf numFmtId="0" fontId="5" fillId="7" borderId="0" xfId="0" applyFont="1" applyFill="1" applyAlignment="1">
      <alignment horizontal="center" vertical="top" textRotation="90" wrapText="1"/>
    </xf>
    <xf numFmtId="0" fontId="5" fillId="13" borderId="0" xfId="0" applyFont="1" applyFill="1" applyAlignment="1">
      <alignment horizontal="center" vertical="top" textRotation="90" wrapText="1"/>
    </xf>
    <xf numFmtId="0" fontId="5" fillId="15" borderId="0" xfId="0" applyFont="1" applyFill="1" applyAlignment="1">
      <alignment horizontal="center" vertical="top" textRotation="90" wrapText="1"/>
    </xf>
    <xf numFmtId="0" fontId="5" fillId="18" borderId="0" xfId="0" applyFont="1" applyFill="1" applyAlignment="1">
      <alignment horizontal="center" vertical="top" textRotation="90" wrapText="1"/>
    </xf>
    <xf numFmtId="0" fontId="5" fillId="0" borderId="9" xfId="0" applyFont="1" applyBorder="1" applyAlignment="1">
      <alignment vertical="top" wrapText="1"/>
    </xf>
    <xf numFmtId="0" fontId="5" fillId="3" borderId="9" xfId="0" applyFont="1" applyFill="1" applyBorder="1" applyAlignment="1">
      <alignment horizontal="center" vertical="top" wrapText="1"/>
    </xf>
    <xf numFmtId="0" fontId="5" fillId="0" borderId="9" xfId="0" applyFont="1" applyBorder="1" applyAlignment="1">
      <alignment horizontal="center" vertical="top" wrapText="1"/>
    </xf>
    <xf numFmtId="0" fontId="5" fillId="16" borderId="10" xfId="0" applyFont="1" applyFill="1" applyBorder="1" applyAlignment="1">
      <alignment horizontal="center" vertical="top" wrapText="1"/>
    </xf>
    <xf numFmtId="0" fontId="5" fillId="14" borderId="9" xfId="0" applyFont="1" applyFill="1" applyBorder="1" applyAlignment="1">
      <alignment horizontal="center" vertical="top" wrapText="1"/>
    </xf>
    <xf numFmtId="0" fontId="5" fillId="7" borderId="9" xfId="0" applyFont="1" applyFill="1" applyBorder="1" applyAlignment="1">
      <alignment horizontal="center" vertical="top" wrapText="1"/>
    </xf>
    <xf numFmtId="0" fontId="5" fillId="13" borderId="9" xfId="0" applyFont="1" applyFill="1" applyBorder="1" applyAlignment="1">
      <alignment horizontal="center" vertical="top" wrapText="1"/>
    </xf>
    <xf numFmtId="0" fontId="5" fillId="15" borderId="9" xfId="0" applyFont="1" applyFill="1" applyBorder="1" applyAlignment="1">
      <alignment horizontal="center" vertical="top" wrapText="1"/>
    </xf>
    <xf numFmtId="0" fontId="5" fillId="18" borderId="9" xfId="0" applyFont="1" applyFill="1" applyBorder="1" applyAlignment="1">
      <alignment horizontal="center" vertical="top" wrapText="1"/>
    </xf>
    <xf numFmtId="0" fontId="5" fillId="0" borderId="0" xfId="0" applyFont="1" applyAlignment="1">
      <alignment horizontal="center" vertical="top" wrapText="1"/>
    </xf>
    <xf numFmtId="0" fontId="5" fillId="0" borderId="3" xfId="0" applyFont="1" applyBorder="1" applyAlignment="1">
      <alignment horizontal="center" vertical="top" wrapText="1"/>
    </xf>
    <xf numFmtId="0" fontId="5" fillId="3" borderId="0" xfId="0" applyFont="1" applyFill="1" applyAlignment="1">
      <alignment horizontal="center" vertical="top" wrapText="1"/>
    </xf>
    <xf numFmtId="0" fontId="5" fillId="16" borderId="1" xfId="0" applyFont="1" applyFill="1" applyBorder="1" applyAlignment="1">
      <alignment horizontal="center" vertical="top" wrapText="1"/>
    </xf>
    <xf numFmtId="0" fontId="5" fillId="14" borderId="0" xfId="0" applyFont="1" applyFill="1" applyAlignment="1">
      <alignment horizontal="center" vertical="top" wrapText="1"/>
    </xf>
    <xf numFmtId="0" fontId="5" fillId="7" borderId="0" xfId="0" applyFont="1" applyFill="1" applyAlignment="1">
      <alignment horizontal="center" vertical="top" wrapText="1"/>
    </xf>
    <xf numFmtId="0" fontId="5" fillId="13" borderId="0" xfId="0" applyFont="1" applyFill="1" applyAlignment="1">
      <alignment horizontal="center" vertical="top" wrapText="1"/>
    </xf>
    <xf numFmtId="0" fontId="5" fillId="15" borderId="0" xfId="0" applyFont="1" applyFill="1" applyAlignment="1">
      <alignment horizontal="center" vertical="top" wrapText="1"/>
    </xf>
    <xf numFmtId="0" fontId="5" fillId="18" borderId="0" xfId="0" applyFont="1" applyFill="1" applyAlignment="1">
      <alignment horizontal="center" vertical="top" wrapText="1"/>
    </xf>
    <xf numFmtId="0" fontId="5" fillId="0" borderId="3" xfId="0" applyFont="1" applyBorder="1" applyAlignment="1">
      <alignment vertical="top" wrapText="1"/>
    </xf>
    <xf numFmtId="0" fontId="5" fillId="16" borderId="3" xfId="0" applyFont="1" applyFill="1" applyBorder="1" applyAlignment="1">
      <alignment horizontal="center" vertical="top" wrapText="1"/>
    </xf>
    <xf numFmtId="0" fontId="5" fillId="14" borderId="3" xfId="0" applyFont="1" applyFill="1" applyBorder="1" applyAlignment="1">
      <alignment horizontal="center" vertical="top" wrapText="1"/>
    </xf>
    <xf numFmtId="0" fontId="5" fillId="7" borderId="3" xfId="0" applyFont="1" applyFill="1" applyBorder="1" applyAlignment="1">
      <alignment horizontal="center" vertical="top" wrapText="1"/>
    </xf>
    <xf numFmtId="0" fontId="5" fillId="13" borderId="3"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15" borderId="3" xfId="0" applyFont="1" applyFill="1" applyBorder="1" applyAlignment="1">
      <alignment horizontal="center" vertical="top" wrapText="1"/>
    </xf>
    <xf numFmtId="0" fontId="5" fillId="19" borderId="3" xfId="0" applyFont="1" applyFill="1" applyBorder="1" applyAlignment="1">
      <alignment horizontal="center" vertical="top" wrapText="1"/>
    </xf>
    <xf numFmtId="0" fontId="5" fillId="16" borderId="0" xfId="0" applyFont="1" applyFill="1" applyAlignment="1">
      <alignment horizontal="center" vertical="top" wrapText="1"/>
    </xf>
    <xf numFmtId="0" fontId="5" fillId="19" borderId="0" xfId="0" applyFont="1" applyFill="1" applyAlignment="1">
      <alignment horizontal="center" vertical="top" wrapText="1"/>
    </xf>
    <xf numFmtId="0" fontId="15" fillId="0" borderId="0" xfId="0" applyFont="1" applyAlignment="1">
      <alignment vertical="top" wrapText="1"/>
    </xf>
    <xf numFmtId="0" fontId="15" fillId="0" borderId="9" xfId="0" applyFont="1" applyBorder="1" applyAlignment="1">
      <alignment vertical="top" wrapText="1"/>
    </xf>
    <xf numFmtId="0" fontId="15" fillId="0" borderId="3" xfId="0" applyFont="1" applyBorder="1" applyAlignment="1">
      <alignment vertical="top" wrapText="1"/>
    </xf>
    <xf numFmtId="0" fontId="8" fillId="0" borderId="0" xfId="0" applyFont="1" applyAlignment="1">
      <alignment vertical="top" wrapText="1"/>
    </xf>
    <xf numFmtId="0" fontId="8" fillId="0" borderId="0" xfId="0" applyFont="1" applyAlignment="1">
      <alignment horizontal="center" vertical="top" wrapText="1"/>
    </xf>
    <xf numFmtId="0" fontId="18" fillId="0" borderId="0" xfId="0" applyFont="1" applyAlignment="1">
      <alignment horizontal="center" vertical="top" wrapText="1"/>
    </xf>
    <xf numFmtId="0" fontId="17" fillId="20" borderId="2" xfId="0" applyFont="1" applyFill="1" applyBorder="1" applyAlignment="1">
      <alignment horizontal="center" vertical="top" textRotation="90" wrapText="1"/>
    </xf>
    <xf numFmtId="0" fontId="17" fillId="20" borderId="11" xfId="0" applyFont="1" applyFill="1" applyBorder="1" applyAlignment="1">
      <alignment horizontal="center" vertical="top" wrapText="1"/>
    </xf>
    <xf numFmtId="0" fontId="17" fillId="20" borderId="2" xfId="0" applyFont="1" applyFill="1" applyBorder="1" applyAlignment="1">
      <alignment horizontal="center" vertical="top" wrapText="1"/>
    </xf>
    <xf numFmtId="0" fontId="17" fillId="20" borderId="3" xfId="0" applyFont="1" applyFill="1" applyBorder="1" applyAlignment="1">
      <alignment horizontal="center" vertical="top" wrapText="1"/>
    </xf>
    <xf numFmtId="0" fontId="17" fillId="20" borderId="0" xfId="0" applyFont="1" applyFill="1" applyAlignment="1">
      <alignment horizontal="center" vertical="top" wrapText="1"/>
    </xf>
    <xf numFmtId="0" fontId="8" fillId="4" borderId="1" xfId="0" applyFont="1" applyFill="1" applyBorder="1" applyAlignment="1">
      <alignment horizontal="center" vertical="top" textRotation="90" wrapText="1"/>
    </xf>
    <xf numFmtId="0" fontId="8" fillId="17" borderId="0" xfId="0" applyFont="1" applyFill="1" applyAlignment="1">
      <alignment horizontal="center" vertical="top" textRotation="90" wrapText="1"/>
    </xf>
    <xf numFmtId="0" fontId="8" fillId="2" borderId="2" xfId="0" applyFont="1" applyFill="1" applyBorder="1" applyAlignment="1">
      <alignment horizontal="center" vertical="top" textRotation="90" wrapText="1"/>
    </xf>
    <xf numFmtId="0" fontId="19" fillId="9" borderId="0" xfId="0" applyFont="1" applyFill="1" applyAlignment="1">
      <alignment horizontal="center" vertical="top" textRotation="90" wrapText="1"/>
    </xf>
    <xf numFmtId="0" fontId="20" fillId="10" borderId="0" xfId="0" applyFont="1" applyFill="1" applyAlignment="1">
      <alignment horizontal="center" vertical="top" textRotation="90" wrapText="1"/>
    </xf>
    <xf numFmtId="0" fontId="8" fillId="3" borderId="0" xfId="0" applyFont="1" applyFill="1" applyAlignment="1">
      <alignment horizontal="center" vertical="top" textRotation="90" wrapText="1"/>
    </xf>
    <xf numFmtId="0" fontId="8" fillId="4" borderId="10" xfId="0" applyFont="1" applyFill="1" applyBorder="1" applyAlignment="1">
      <alignment horizontal="center" vertical="top" wrapText="1"/>
    </xf>
    <xf numFmtId="0" fontId="8" fillId="17" borderId="9" xfId="0" applyFont="1" applyFill="1" applyBorder="1" applyAlignment="1">
      <alignment horizontal="center" vertical="top" wrapText="1"/>
    </xf>
    <xf numFmtId="0" fontId="8" fillId="2" borderId="11" xfId="0" applyFont="1" applyFill="1" applyBorder="1" applyAlignment="1">
      <alignment horizontal="center" vertical="top" wrapText="1"/>
    </xf>
    <xf numFmtId="0" fontId="19" fillId="9" borderId="9" xfId="0" applyFont="1" applyFill="1" applyBorder="1" applyAlignment="1">
      <alignment horizontal="center" vertical="top" wrapText="1"/>
    </xf>
    <xf numFmtId="0" fontId="20" fillId="10" borderId="9" xfId="0" applyFont="1" applyFill="1" applyBorder="1" applyAlignment="1">
      <alignment horizontal="center" vertical="top" wrapText="1"/>
    </xf>
    <xf numFmtId="0" fontId="8" fillId="3" borderId="9" xfId="0" applyFont="1" applyFill="1" applyBorder="1" applyAlignment="1">
      <alignment horizontal="center" vertical="top" wrapText="1"/>
    </xf>
    <xf numFmtId="0" fontId="8" fillId="4" borderId="1" xfId="0" applyFont="1" applyFill="1" applyBorder="1" applyAlignment="1">
      <alignment horizontal="center" vertical="top" wrapText="1"/>
    </xf>
    <xf numFmtId="0" fontId="8" fillId="17" borderId="0" xfId="0" applyFont="1" applyFill="1" applyAlignment="1">
      <alignment horizontal="center" vertical="top" wrapText="1"/>
    </xf>
    <xf numFmtId="0" fontId="8" fillId="2" borderId="2" xfId="0" applyFont="1" applyFill="1" applyBorder="1" applyAlignment="1">
      <alignment horizontal="center" vertical="top" wrapText="1"/>
    </xf>
    <xf numFmtId="0" fontId="19" fillId="9" borderId="0" xfId="0" applyFont="1" applyFill="1" applyAlignment="1">
      <alignment horizontal="center" vertical="top" wrapText="1"/>
    </xf>
    <xf numFmtId="0" fontId="20" fillId="10" borderId="0" xfId="0" applyFont="1" applyFill="1" applyAlignment="1">
      <alignment horizontal="center" vertical="top" wrapText="1"/>
    </xf>
    <xf numFmtId="0" fontId="8" fillId="3" borderId="0" xfId="0" applyFont="1" applyFill="1" applyAlignment="1">
      <alignment horizontal="center" vertical="top" wrapText="1"/>
    </xf>
    <xf numFmtId="0" fontId="8" fillId="0" borderId="3" xfId="0" applyFont="1" applyBorder="1" applyAlignment="1">
      <alignment horizontal="center" vertical="top" wrapText="1"/>
    </xf>
    <xf numFmtId="0" fontId="8" fillId="0" borderId="0" xfId="0" applyFont="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5" fillId="0" borderId="0" xfId="0" applyFont="1" applyAlignment="1">
      <alignment horizontal="left" vertical="top" wrapText="1"/>
    </xf>
    <xf numFmtId="0" fontId="22" fillId="0" borderId="0" xfId="0" applyFont="1" applyAlignment="1">
      <alignment horizontal="left" vertical="top" wrapText="1"/>
    </xf>
    <xf numFmtId="0" fontId="22" fillId="0" borderId="7" xfId="0" applyFont="1" applyBorder="1" applyAlignment="1">
      <alignment horizontal="left" vertical="top" wrapText="1"/>
    </xf>
    <xf numFmtId="0" fontId="5" fillId="0" borderId="8" xfId="0" applyFont="1" applyBorder="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21" fillId="0" borderId="0" xfId="0" applyFont="1" applyAlignment="1">
      <alignment horizontal="left" vertical="top" wrapText="1"/>
    </xf>
    <xf numFmtId="0" fontId="16" fillId="0" borderId="8" xfId="0" applyFont="1" applyBorder="1" applyAlignment="1">
      <alignment horizontal="left" vertical="top" wrapText="1"/>
    </xf>
    <xf numFmtId="0" fontId="21" fillId="0" borderId="8" xfId="0" applyFont="1" applyBorder="1" applyAlignment="1">
      <alignment horizontal="left" vertical="top" wrapText="1"/>
    </xf>
    <xf numFmtId="0" fontId="6" fillId="21" borderId="0" xfId="0" applyFont="1" applyFill="1" applyAlignment="1">
      <alignment horizontal="center" vertical="top" textRotation="90" wrapText="1"/>
    </xf>
    <xf numFmtId="0" fontId="6" fillId="21" borderId="9" xfId="0" applyFont="1" applyFill="1" applyBorder="1" applyAlignment="1">
      <alignment horizontal="center" vertical="top" wrapText="1"/>
    </xf>
    <xf numFmtId="0" fontId="6" fillId="21" borderId="0" xfId="0" applyFont="1" applyFill="1" applyAlignment="1">
      <alignment horizontal="center" vertical="top" wrapText="1"/>
    </xf>
    <xf numFmtId="0" fontId="6" fillId="21" borderId="3" xfId="0" applyFont="1" applyFill="1" applyBorder="1" applyAlignment="1">
      <alignment horizontal="center" vertical="top" wrapText="1"/>
    </xf>
    <xf numFmtId="0" fontId="18" fillId="20" borderId="2" xfId="0" applyFont="1" applyFill="1" applyBorder="1" applyAlignment="1">
      <alignment horizontal="center" vertical="top" textRotation="90" wrapText="1"/>
    </xf>
    <xf numFmtId="0" fontId="18" fillId="20" borderId="11" xfId="0" applyFont="1" applyFill="1" applyBorder="1" applyAlignment="1">
      <alignment horizontal="center" vertical="top" wrapText="1"/>
    </xf>
    <xf numFmtId="0" fontId="18" fillId="20" borderId="2" xfId="0" applyFont="1" applyFill="1" applyBorder="1" applyAlignment="1">
      <alignment horizontal="center" vertical="top" wrapText="1"/>
    </xf>
    <xf numFmtId="0" fontId="18" fillId="20" borderId="3" xfId="0" applyFont="1" applyFill="1" applyBorder="1" applyAlignment="1">
      <alignment horizontal="center" vertical="top" wrapText="1"/>
    </xf>
    <xf numFmtId="0" fontId="18" fillId="20" borderId="0" xfId="0" applyFont="1" applyFill="1" applyAlignment="1">
      <alignment horizontal="center" vertical="top" wrapText="1"/>
    </xf>
    <xf numFmtId="0" fontId="18" fillId="0" borderId="0" xfId="0" applyFont="1" applyAlignment="1">
      <alignment vertical="top" wrapText="1"/>
    </xf>
    <xf numFmtId="0" fontId="15" fillId="22" borderId="9" xfId="0" applyFont="1" applyFill="1" applyBorder="1" applyAlignment="1">
      <alignment vertical="top" wrapText="1"/>
    </xf>
    <xf numFmtId="0" fontId="5" fillId="22" borderId="9" xfId="0" applyFont="1" applyFill="1" applyBorder="1" applyAlignment="1">
      <alignment vertical="top" wrapText="1"/>
    </xf>
    <xf numFmtId="0" fontId="5" fillId="22" borderId="9" xfId="0" quotePrefix="1" applyFont="1" applyFill="1" applyBorder="1" applyAlignment="1">
      <alignment vertical="top" wrapText="1"/>
    </xf>
    <xf numFmtId="0" fontId="15" fillId="23" borderId="9" xfId="0" applyFont="1" applyFill="1" applyBorder="1" applyAlignment="1">
      <alignment vertical="top" wrapText="1"/>
    </xf>
    <xf numFmtId="0" fontId="5" fillId="23" borderId="9" xfId="0" applyFont="1" applyFill="1" applyBorder="1" applyAlignment="1">
      <alignment vertical="top" wrapText="1"/>
    </xf>
    <xf numFmtId="0" fontId="5" fillId="24" borderId="0" xfId="0" applyFont="1" applyFill="1" applyAlignment="1">
      <alignment horizontal="center" vertical="top" textRotation="90" wrapText="1"/>
    </xf>
    <xf numFmtId="0" fontId="5" fillId="24" borderId="9" xfId="0" applyFont="1" applyFill="1" applyBorder="1" applyAlignment="1">
      <alignment horizontal="center" vertical="top" wrapText="1"/>
    </xf>
    <xf numFmtId="0" fontId="5" fillId="24" borderId="0" xfId="0" applyFont="1" applyFill="1" applyAlignment="1">
      <alignment horizontal="center" vertical="top" wrapText="1"/>
    </xf>
    <xf numFmtId="0" fontId="5" fillId="24" borderId="3" xfId="0" applyFont="1" applyFill="1" applyBorder="1" applyAlignment="1">
      <alignment horizontal="center" vertical="top" wrapText="1"/>
    </xf>
    <xf numFmtId="0" fontId="5" fillId="25" borderId="0" xfId="0" applyFont="1" applyFill="1" applyAlignment="1">
      <alignment horizontal="center" vertical="top" textRotation="90" wrapText="1"/>
    </xf>
    <xf numFmtId="0" fontId="5" fillId="25" borderId="9" xfId="0" applyFont="1" applyFill="1" applyBorder="1" applyAlignment="1">
      <alignment horizontal="center" vertical="top" wrapText="1"/>
    </xf>
    <xf numFmtId="0" fontId="5" fillId="25" borderId="0" xfId="0" applyFont="1" applyFill="1" applyAlignment="1">
      <alignment horizontal="center" vertical="top" wrapText="1"/>
    </xf>
    <xf numFmtId="0" fontId="5" fillId="25" borderId="3" xfId="0" applyFont="1" applyFill="1" applyBorder="1" applyAlignment="1">
      <alignment horizontal="center" vertical="top" wrapText="1"/>
    </xf>
    <xf numFmtId="0" fontId="5" fillId="26" borderId="3" xfId="0" applyFont="1" applyFill="1" applyBorder="1" applyAlignment="1">
      <alignment horizontal="center" vertical="top" wrapText="1"/>
    </xf>
    <xf numFmtId="0" fontId="5" fillId="26" borderId="9" xfId="0" applyFont="1" applyFill="1" applyBorder="1" applyAlignment="1">
      <alignment horizontal="center" vertical="top" wrapText="1"/>
    </xf>
    <xf numFmtId="0" fontId="5" fillId="26" borderId="0" xfId="0" applyFont="1" applyFill="1" applyAlignment="1">
      <alignment horizontal="center" vertical="top" wrapText="1"/>
    </xf>
    <xf numFmtId="0" fontId="5" fillId="27" borderId="9" xfId="0" applyFont="1" applyFill="1" applyBorder="1" applyAlignment="1">
      <alignment horizontal="center" vertical="top" wrapText="1"/>
    </xf>
    <xf numFmtId="0" fontId="5" fillId="27" borderId="0" xfId="0" applyFont="1" applyFill="1" applyAlignment="1">
      <alignment horizontal="center" vertical="top" wrapText="1"/>
    </xf>
    <xf numFmtId="0" fontId="5" fillId="27" borderId="3" xfId="0" applyFont="1" applyFill="1" applyBorder="1" applyAlignment="1">
      <alignment horizontal="center" vertical="top" wrapText="1"/>
    </xf>
    <xf numFmtId="0" fontId="5" fillId="12" borderId="9" xfId="0" applyFont="1" applyFill="1" applyBorder="1" applyAlignment="1">
      <alignment horizontal="center" vertical="top" wrapText="1"/>
    </xf>
    <xf numFmtId="0" fontId="5" fillId="12" borderId="0" xfId="0" applyFont="1" applyFill="1" applyAlignment="1">
      <alignment horizontal="center" vertical="top" wrapText="1"/>
    </xf>
    <xf numFmtId="0" fontId="5" fillId="12" borderId="3" xfId="0" applyFont="1" applyFill="1" applyBorder="1" applyAlignment="1">
      <alignment horizontal="center" vertical="top" wrapText="1"/>
    </xf>
    <xf numFmtId="0" fontId="5" fillId="25" borderId="12" xfId="0" applyFont="1" applyFill="1" applyBorder="1" applyAlignment="1">
      <alignment horizontal="center" vertical="top" textRotation="90" wrapText="1"/>
    </xf>
    <xf numFmtId="0" fontId="5" fillId="26" borderId="3" xfId="0" applyFont="1" applyFill="1" applyBorder="1" applyAlignment="1">
      <alignment horizontal="center" vertical="top" textRotation="90" wrapText="1"/>
    </xf>
    <xf numFmtId="0" fontId="5" fillId="7" borderId="3" xfId="0" applyFont="1" applyFill="1" applyBorder="1" applyAlignment="1">
      <alignment horizontal="center" vertical="top" textRotation="90" wrapText="1"/>
    </xf>
    <xf numFmtId="0" fontId="5" fillId="25" borderId="3" xfId="0" applyFont="1" applyFill="1" applyBorder="1" applyAlignment="1">
      <alignment horizontal="center" vertical="top" textRotation="90" wrapText="1"/>
    </xf>
    <xf numFmtId="0" fontId="5" fillId="27" borderId="3" xfId="0" applyFont="1" applyFill="1" applyBorder="1" applyAlignment="1">
      <alignment horizontal="center" vertical="top" textRotation="90" wrapText="1"/>
    </xf>
    <xf numFmtId="0" fontId="5" fillId="12" borderId="3" xfId="0" applyFont="1" applyFill="1" applyBorder="1" applyAlignment="1">
      <alignment horizontal="center" vertical="top" textRotation="90" wrapText="1"/>
    </xf>
    <xf numFmtId="0" fontId="5" fillId="7" borderId="13" xfId="0" applyFont="1" applyFill="1" applyBorder="1" applyAlignment="1">
      <alignment horizontal="center" vertical="top" textRotation="90" wrapText="1"/>
    </xf>
    <xf numFmtId="0" fontId="5" fillId="25" borderId="1" xfId="0" applyFont="1" applyFill="1" applyBorder="1" applyAlignment="1">
      <alignment horizontal="center" vertical="top" wrapText="1"/>
    </xf>
    <xf numFmtId="0" fontId="5" fillId="7" borderId="2" xfId="0" applyFont="1" applyFill="1" applyBorder="1" applyAlignment="1">
      <alignment horizontal="center" vertical="top" wrapText="1"/>
    </xf>
    <xf numFmtId="0" fontId="5" fillId="25" borderId="14" xfId="0" applyFont="1" applyFill="1" applyBorder="1" applyAlignment="1">
      <alignment horizontal="center" vertical="top" wrapText="1"/>
    </xf>
    <xf numFmtId="0" fontId="5" fillId="26" borderId="4" xfId="0" applyFont="1" applyFill="1" applyBorder="1" applyAlignment="1">
      <alignment horizontal="center" vertical="top" wrapText="1"/>
    </xf>
    <xf numFmtId="0" fontId="5" fillId="7" borderId="4" xfId="0" applyFont="1" applyFill="1" applyBorder="1" applyAlignment="1">
      <alignment horizontal="center" vertical="top" wrapText="1"/>
    </xf>
    <xf numFmtId="0" fontId="5" fillId="25" borderId="4" xfId="0" applyFont="1" applyFill="1" applyBorder="1" applyAlignment="1">
      <alignment horizontal="center" vertical="top" wrapText="1"/>
    </xf>
    <xf numFmtId="0" fontId="5" fillId="27" borderId="4" xfId="0" applyFont="1" applyFill="1" applyBorder="1" applyAlignment="1">
      <alignment horizontal="center" vertical="top" wrapText="1"/>
    </xf>
    <xf numFmtId="0" fontId="5" fillId="12" borderId="4" xfId="0" applyFont="1" applyFill="1" applyBorder="1" applyAlignment="1">
      <alignment horizontal="center" vertical="top" wrapText="1"/>
    </xf>
    <xf numFmtId="0" fontId="5" fillId="7" borderId="15" xfId="0" applyFont="1" applyFill="1" applyBorder="1" applyAlignment="1">
      <alignment horizontal="center" vertical="top" wrapText="1"/>
    </xf>
    <xf numFmtId="0" fontId="5" fillId="25" borderId="16" xfId="0" applyFont="1" applyFill="1" applyBorder="1" applyAlignment="1">
      <alignment horizontal="center" vertical="top" wrapText="1"/>
    </xf>
    <xf numFmtId="0" fontId="5" fillId="26" borderId="17" xfId="0" applyFont="1" applyFill="1" applyBorder="1" applyAlignment="1">
      <alignment horizontal="center" vertical="top" wrapText="1"/>
    </xf>
    <xf numFmtId="0" fontId="5" fillId="7" borderId="17" xfId="0" applyFont="1" applyFill="1" applyBorder="1" applyAlignment="1">
      <alignment horizontal="center" vertical="top" wrapText="1"/>
    </xf>
    <xf numFmtId="0" fontId="5" fillId="25" borderId="17" xfId="0" applyFont="1" applyFill="1" applyBorder="1" applyAlignment="1">
      <alignment horizontal="center" vertical="top" wrapText="1"/>
    </xf>
    <xf numFmtId="0" fontId="5" fillId="27" borderId="17" xfId="0" applyFont="1" applyFill="1" applyBorder="1" applyAlignment="1">
      <alignment horizontal="center" vertical="top" wrapText="1"/>
    </xf>
    <xf numFmtId="0" fontId="5" fillId="12" borderId="17" xfId="0" applyFont="1" applyFill="1" applyBorder="1" applyAlignment="1">
      <alignment horizontal="center" vertical="top" wrapText="1"/>
    </xf>
    <xf numFmtId="0" fontId="5" fillId="7" borderId="18" xfId="0" applyFont="1" applyFill="1" applyBorder="1" applyAlignment="1">
      <alignment horizontal="center" vertical="top" wrapText="1"/>
    </xf>
    <xf numFmtId="0" fontId="5" fillId="25" borderId="10" xfId="0" applyFont="1" applyFill="1" applyBorder="1" applyAlignment="1">
      <alignment horizontal="center" vertical="top" wrapText="1"/>
    </xf>
    <xf numFmtId="0" fontId="5" fillId="7" borderId="11" xfId="0" applyFont="1" applyFill="1" applyBorder="1" applyAlignment="1">
      <alignment horizontal="center" vertical="top" wrapText="1"/>
    </xf>
    <xf numFmtId="0" fontId="19" fillId="28" borderId="9" xfId="0" applyFont="1" applyFill="1" applyBorder="1" applyAlignment="1">
      <alignment horizontal="center" vertical="top" wrapText="1"/>
    </xf>
    <xf numFmtId="0" fontId="19" fillId="10" borderId="0" xfId="0" applyFont="1" applyFill="1" applyAlignment="1">
      <alignment horizontal="center" wrapText="1"/>
    </xf>
    <xf numFmtId="0" fontId="19" fillId="10" borderId="0" xfId="0" applyFont="1" applyFill="1" applyAlignment="1">
      <alignment wrapText="1"/>
    </xf>
    <xf numFmtId="0" fontId="19" fillId="10" borderId="0" xfId="0" applyFont="1" applyFill="1" applyAlignment="1">
      <alignment horizontal="center" vertical="center" wrapText="1"/>
    </xf>
    <xf numFmtId="0" fontId="5" fillId="0" borderId="12" xfId="0" applyFont="1" applyBorder="1" applyAlignment="1">
      <alignment horizontal="center" vertical="top" wrapText="1"/>
    </xf>
    <xf numFmtId="0" fontId="5" fillId="0" borderId="13" xfId="0" applyFont="1" applyBorder="1" applyAlignment="1">
      <alignment horizontal="center" vertical="top" wrapText="1"/>
    </xf>
    <xf numFmtId="0" fontId="5" fillId="0" borderId="0" xfId="0" applyFont="1" applyAlignment="1">
      <alignment horizontal="center" vertical="center" wrapText="1"/>
    </xf>
    <xf numFmtId="0" fontId="5" fillId="0" borderId="0" xfId="0" applyFont="1" applyAlignment="1">
      <alignment horizontal="center" wrapText="1"/>
    </xf>
    <xf numFmtId="0" fontId="23" fillId="10" borderId="0" xfId="0" applyFont="1" applyFill="1" applyAlignment="1">
      <alignment horizontal="center" vertical="center" wrapText="1"/>
    </xf>
    <xf numFmtId="0" fontId="2" fillId="0" borderId="12" xfId="0" applyFont="1" applyBorder="1" applyAlignment="1">
      <alignment horizontal="center" vertical="top" wrapText="1"/>
    </xf>
    <xf numFmtId="0" fontId="2" fillId="0" borderId="0" xfId="0" applyFont="1" applyAlignment="1">
      <alignment horizontal="center" wrapText="1"/>
    </xf>
    <xf numFmtId="0" fontId="23" fillId="10" borderId="2" xfId="0" applyFont="1" applyFill="1" applyBorder="1" applyAlignment="1">
      <alignment horizontal="center" vertical="center" wrapText="1"/>
    </xf>
    <xf numFmtId="0" fontId="2" fillId="0" borderId="19" xfId="0" applyFont="1" applyBorder="1" applyAlignment="1">
      <alignment horizontal="center" vertical="top" wrapText="1"/>
    </xf>
    <xf numFmtId="0" fontId="2" fillId="26" borderId="12" xfId="0" applyFont="1" applyFill="1" applyBorder="1" applyAlignment="1">
      <alignment horizontal="center" vertical="top" wrapText="1"/>
    </xf>
    <xf numFmtId="0" fontId="5" fillId="26" borderId="12" xfId="0" applyFont="1" applyFill="1" applyBorder="1" applyAlignment="1">
      <alignment horizontal="center" vertical="top" wrapText="1"/>
    </xf>
    <xf numFmtId="0" fontId="5" fillId="26" borderId="13" xfId="0" applyFont="1" applyFill="1" applyBorder="1" applyAlignment="1">
      <alignment horizontal="center" vertical="top" wrapText="1"/>
    </xf>
    <xf numFmtId="0" fontId="2" fillId="26" borderId="19" xfId="0" applyFont="1" applyFill="1" applyBorder="1" applyAlignment="1">
      <alignment horizontal="center" vertical="top" wrapText="1"/>
    </xf>
    <xf numFmtId="0" fontId="5" fillId="26" borderId="20" xfId="0" applyFont="1" applyFill="1" applyBorder="1" applyAlignment="1">
      <alignment horizontal="center" vertical="top" wrapText="1"/>
    </xf>
    <xf numFmtId="0" fontId="5" fillId="26" borderId="21" xfId="0" applyFont="1" applyFill="1" applyBorder="1" applyAlignment="1">
      <alignment horizontal="center" vertical="top" wrapText="1"/>
    </xf>
    <xf numFmtId="0" fontId="5" fillId="26" borderId="22" xfId="0" applyFont="1" applyFill="1" applyBorder="1" applyAlignment="1">
      <alignment horizontal="center" vertical="top" wrapText="1"/>
    </xf>
    <xf numFmtId="0" fontId="2" fillId="26" borderId="20" xfId="0" applyFont="1" applyFill="1" applyBorder="1" applyAlignment="1">
      <alignment horizontal="center" vertical="top" wrapText="1"/>
    </xf>
    <xf numFmtId="0" fontId="2" fillId="26" borderId="23" xfId="0" applyFont="1" applyFill="1" applyBorder="1" applyAlignment="1">
      <alignment horizontal="center" vertical="top" wrapText="1"/>
    </xf>
    <xf numFmtId="0" fontId="5" fillId="4" borderId="10" xfId="0" applyFont="1" applyFill="1" applyBorder="1" applyAlignment="1">
      <alignment horizontal="center" vertical="top" wrapText="1"/>
    </xf>
    <xf numFmtId="0" fontId="5" fillId="17" borderId="9" xfId="0" applyFont="1" applyFill="1" applyBorder="1" applyAlignment="1">
      <alignment horizontal="center" vertical="top" wrapText="1"/>
    </xf>
    <xf numFmtId="0" fontId="5" fillId="2" borderId="11" xfId="0" applyFont="1" applyFill="1" applyBorder="1" applyAlignment="1">
      <alignment horizontal="center" vertical="top" wrapText="1"/>
    </xf>
    <xf numFmtId="0" fontId="14" fillId="9" borderId="9" xfId="0" applyFont="1" applyFill="1" applyBorder="1" applyAlignment="1">
      <alignment horizontal="center" vertical="top" wrapText="1"/>
    </xf>
    <xf numFmtId="0" fontId="6" fillId="10" borderId="9" xfId="0" applyFont="1" applyFill="1" applyBorder="1" applyAlignment="1">
      <alignment horizontal="center" vertical="top" wrapText="1"/>
    </xf>
    <xf numFmtId="0" fontId="15" fillId="13" borderId="9" xfId="0" applyFont="1" applyFill="1" applyBorder="1" applyAlignment="1">
      <alignment vertical="top" wrapText="1"/>
    </xf>
    <xf numFmtId="0" fontId="5" fillId="13" borderId="9" xfId="0" applyFont="1" applyFill="1" applyBorder="1" applyAlignment="1">
      <alignment vertical="top" wrapText="1"/>
    </xf>
    <xf numFmtId="0" fontId="5" fillId="23" borderId="9" xfId="0" quotePrefix="1" applyFont="1" applyFill="1" applyBorder="1" applyAlignment="1">
      <alignment vertical="top" wrapText="1"/>
    </xf>
    <xf numFmtId="0" fontId="15" fillId="26" borderId="9" xfId="0" applyFont="1" applyFill="1" applyBorder="1" applyAlignment="1">
      <alignment vertical="top" wrapText="1"/>
    </xf>
    <xf numFmtId="0" fontId="5" fillId="26" borderId="9" xfId="0" applyFont="1" applyFill="1" applyBorder="1" applyAlignment="1">
      <alignment vertical="top" wrapText="1"/>
    </xf>
    <xf numFmtId="0" fontId="15" fillId="29" borderId="9" xfId="0" applyFont="1" applyFill="1" applyBorder="1" applyAlignment="1">
      <alignment vertical="top" wrapText="1"/>
    </xf>
    <xf numFmtId="0" fontId="5" fillId="29" borderId="9" xfId="0" applyFont="1" applyFill="1" applyBorder="1" applyAlignment="1">
      <alignment vertical="top" wrapText="1"/>
    </xf>
    <xf numFmtId="0" fontId="5" fillId="29" borderId="9" xfId="0" quotePrefix="1" applyFont="1" applyFill="1" applyBorder="1" applyAlignment="1">
      <alignment vertical="top" wrapText="1"/>
    </xf>
    <xf numFmtId="0" fontId="24" fillId="0" borderId="0" xfId="0" applyFont="1" applyAlignment="1">
      <alignment vertical="top" wrapText="1"/>
    </xf>
    <xf numFmtId="0" fontId="25" fillId="0" borderId="9" xfId="0" applyFont="1" applyBorder="1" applyAlignment="1">
      <alignment vertical="top" wrapText="1"/>
    </xf>
    <xf numFmtId="0" fontId="25" fillId="0" borderId="10" xfId="0" applyFont="1" applyBorder="1" applyAlignment="1">
      <alignment horizontal="center" vertical="top" wrapText="1"/>
    </xf>
    <xf numFmtId="0" fontId="25" fillId="0" borderId="9" xfId="0" applyFont="1" applyBorder="1" applyAlignment="1">
      <alignment horizontal="center" vertical="top" wrapText="1"/>
    </xf>
    <xf numFmtId="0" fontId="25" fillId="0" borderId="11" xfId="0" applyFont="1" applyBorder="1" applyAlignment="1">
      <alignment horizontal="center" vertical="top" wrapText="1"/>
    </xf>
    <xf numFmtId="0" fontId="25" fillId="0" borderId="16" xfId="0" applyFont="1" applyBorder="1" applyAlignment="1">
      <alignment horizontal="center" vertical="top" wrapText="1"/>
    </xf>
    <xf numFmtId="0" fontId="25" fillId="0" borderId="17" xfId="0" applyFont="1" applyBorder="1" applyAlignment="1">
      <alignment horizontal="center" vertical="top" wrapText="1"/>
    </xf>
    <xf numFmtId="0" fontId="25" fillId="0" borderId="18" xfId="0" applyFont="1" applyBorder="1" applyAlignment="1">
      <alignment horizontal="center" vertical="top" wrapText="1"/>
    </xf>
    <xf numFmtId="0" fontId="25" fillId="0" borderId="0" xfId="0" applyFont="1" applyAlignment="1">
      <alignment vertical="top" wrapText="1"/>
    </xf>
    <xf numFmtId="0" fontId="25" fillId="0" borderId="9" xfId="0" quotePrefix="1" applyFont="1" applyBorder="1" applyAlignment="1">
      <alignment vertical="top" wrapText="1"/>
    </xf>
    <xf numFmtId="0" fontId="25" fillId="0" borderId="3" xfId="0" applyFont="1" applyBorder="1" applyAlignment="1">
      <alignment vertical="top" wrapText="1"/>
    </xf>
    <xf numFmtId="0" fontId="25" fillId="0" borderId="3" xfId="0" applyFont="1" applyBorder="1" applyAlignment="1">
      <alignment horizontal="center" vertical="top" wrapText="1"/>
    </xf>
    <xf numFmtId="0" fontId="25" fillId="0" borderId="0" xfId="0" applyFont="1" applyAlignment="1">
      <alignment horizontal="center" vertical="top" wrapText="1"/>
    </xf>
    <xf numFmtId="0" fontId="26" fillId="0" borderId="0" xfId="0" applyFont="1" applyAlignment="1">
      <alignment vertical="top" wrapText="1"/>
    </xf>
    <xf numFmtId="0" fontId="27" fillId="0" borderId="0" xfId="0" applyFont="1" applyAlignment="1">
      <alignment vertical="top" wrapText="1"/>
    </xf>
    <xf numFmtId="0" fontId="27" fillId="0" borderId="5" xfId="0" applyFont="1" applyBorder="1" applyAlignment="1">
      <alignment vertical="top" wrapText="1"/>
    </xf>
    <xf numFmtId="0" fontId="28" fillId="0" borderId="6" xfId="0" applyFont="1" applyBorder="1" applyAlignment="1">
      <alignment vertical="top" wrapText="1"/>
    </xf>
    <xf numFmtId="0" fontId="27" fillId="0" borderId="6" xfId="0" applyFont="1" applyBorder="1" applyAlignment="1">
      <alignment vertical="top" wrapText="1"/>
    </xf>
    <xf numFmtId="0" fontId="27" fillId="0" borderId="0" xfId="0" applyFont="1" applyAlignment="1">
      <alignment horizontal="center" vertical="top"/>
    </xf>
    <xf numFmtId="0" fontId="27" fillId="0" borderId="0" xfId="0" applyFont="1"/>
    <xf numFmtId="0" fontId="27" fillId="0" borderId="0" xfId="0" quotePrefix="1" applyFont="1" applyAlignment="1">
      <alignment vertical="top" wrapText="1"/>
    </xf>
    <xf numFmtId="0" fontId="27" fillId="0" borderId="0" xfId="0" applyFont="1" applyAlignment="1">
      <alignment horizontal="center"/>
    </xf>
    <xf numFmtId="0" fontId="27" fillId="0" borderId="0" xfId="0" applyFont="1" applyAlignment="1">
      <alignment wrapText="1"/>
    </xf>
    <xf numFmtId="0" fontId="28" fillId="0" borderId="0" xfId="0" applyFont="1" applyAlignment="1">
      <alignment vertical="top" wrapText="1"/>
    </xf>
    <xf numFmtId="0" fontId="31" fillId="0" borderId="0" xfId="0" applyFont="1" applyAlignment="1">
      <alignment vertical="top" wrapText="1"/>
    </xf>
    <xf numFmtId="0" fontId="29" fillId="0" borderId="0" xfId="0" applyFont="1" applyAlignment="1">
      <alignment vertical="top" wrapText="1"/>
    </xf>
    <xf numFmtId="0" fontId="28" fillId="0" borderId="10" xfId="0" applyFont="1" applyBorder="1" applyAlignment="1">
      <alignment horizontal="center" vertical="top" wrapText="1"/>
    </xf>
    <xf numFmtId="0" fontId="28" fillId="0" borderId="3" xfId="0" applyFont="1" applyBorder="1" applyAlignment="1">
      <alignment horizontal="center" vertical="top" wrapText="1"/>
    </xf>
    <xf numFmtId="0" fontId="28" fillId="0" borderId="0" xfId="0" applyFont="1" applyAlignment="1">
      <alignment horizontal="center" vertical="top" wrapText="1"/>
    </xf>
    <xf numFmtId="0" fontId="31" fillId="0" borderId="9" xfId="0" applyFont="1" applyBorder="1" applyAlignment="1">
      <alignment horizontal="center" vertical="top" wrapText="1"/>
    </xf>
    <xf numFmtId="0" fontId="31" fillId="0" borderId="3" xfId="0" applyFont="1" applyBorder="1" applyAlignment="1">
      <alignment horizontal="center" vertical="top" wrapText="1"/>
    </xf>
    <xf numFmtId="0" fontId="31" fillId="0" borderId="0" xfId="0" applyFont="1" applyAlignment="1">
      <alignment horizontal="center" vertical="top" wrapText="1"/>
    </xf>
    <xf numFmtId="0" fontId="29" fillId="0" borderId="11" xfId="0" applyFont="1" applyBorder="1" applyAlignment="1">
      <alignment horizontal="center" vertical="top" wrapText="1"/>
    </xf>
    <xf numFmtId="0" fontId="29" fillId="0" borderId="3" xfId="0" applyFont="1" applyBorder="1" applyAlignment="1">
      <alignment horizontal="center" vertical="top" wrapText="1"/>
    </xf>
    <xf numFmtId="0" fontId="29" fillId="0" borderId="0" xfId="0" applyFont="1" applyAlignment="1">
      <alignment horizontal="center" vertical="top" wrapText="1"/>
    </xf>
    <xf numFmtId="0" fontId="32" fillId="30" borderId="1" xfId="0" applyFont="1" applyFill="1" applyBorder="1" applyAlignment="1">
      <alignment horizontal="center" vertical="top" textRotation="90" wrapText="1"/>
    </xf>
    <xf numFmtId="0" fontId="33" fillId="30" borderId="0" xfId="0" applyFont="1" applyFill="1" applyAlignment="1">
      <alignment horizontal="center" vertical="top" textRotation="90" wrapText="1"/>
    </xf>
    <xf numFmtId="0" fontId="34" fillId="30" borderId="2" xfId="0" applyFont="1" applyFill="1" applyBorder="1" applyAlignment="1">
      <alignment horizontal="center" vertical="top" textRotation="90" wrapText="1"/>
    </xf>
    <xf numFmtId="0" fontId="35" fillId="30" borderId="0" xfId="0" applyFont="1" applyFill="1" applyAlignment="1">
      <alignment vertical="top" wrapText="1"/>
    </xf>
    <xf numFmtId="0" fontId="35" fillId="30" borderId="0" xfId="0" applyFont="1" applyFill="1" applyAlignment="1">
      <alignment horizontal="center" vertical="top" textRotation="90" wrapText="1"/>
    </xf>
    <xf numFmtId="0" fontId="35" fillId="30" borderId="12" xfId="0" applyFont="1" applyFill="1" applyBorder="1" applyAlignment="1">
      <alignment horizontal="center" vertical="top" textRotation="90" wrapText="1"/>
    </xf>
    <xf numFmtId="0" fontId="35" fillId="30" borderId="3" xfId="0" applyFont="1" applyFill="1" applyBorder="1" applyAlignment="1">
      <alignment horizontal="center" vertical="top" textRotation="90" wrapText="1"/>
    </xf>
    <xf numFmtId="0" fontId="35" fillId="30" borderId="13" xfId="0" applyFont="1" applyFill="1" applyBorder="1" applyAlignment="1">
      <alignment horizontal="center" vertical="top" textRotation="90" wrapText="1"/>
    </xf>
    <xf numFmtId="0" fontId="35" fillId="30" borderId="1" xfId="0" applyFont="1" applyFill="1" applyBorder="1" applyAlignment="1">
      <alignment horizontal="center" vertical="top" textRotation="90" wrapText="1"/>
    </xf>
    <xf numFmtId="0" fontId="35" fillId="30" borderId="2" xfId="0" applyFont="1" applyFill="1" applyBorder="1" applyAlignment="1">
      <alignment horizontal="center" vertical="top" textRotation="90" wrapText="1"/>
    </xf>
    <xf numFmtId="0" fontId="30" fillId="30" borderId="0" xfId="0" applyFont="1" applyFill="1" applyAlignment="1">
      <alignment vertical="top" wrapText="1"/>
    </xf>
    <xf numFmtId="0" fontId="35" fillId="30" borderId="0" xfId="0" applyFont="1" applyFill="1" applyAlignment="1">
      <alignment horizontal="center" vertical="top"/>
    </xf>
    <xf numFmtId="0" fontId="26" fillId="0" borderId="0" xfId="0" applyFont="1" applyAlignment="1">
      <alignment vertical="top"/>
    </xf>
    <xf numFmtId="0" fontId="27" fillId="0" borderId="0" xfId="0" applyFont="1" applyAlignment="1">
      <alignment vertical="top"/>
    </xf>
    <xf numFmtId="0" fontId="27" fillId="8" borderId="0" xfId="0" applyFont="1" applyFill="1" applyAlignment="1">
      <alignment horizontal="center" vertical="top"/>
    </xf>
    <xf numFmtId="0" fontId="27" fillId="0" borderId="0" xfId="0" applyFont="1" applyAlignment="1">
      <alignment horizontal="left" vertical="top"/>
    </xf>
    <xf numFmtId="0" fontId="37" fillId="0" borderId="0" xfId="0" applyFont="1" applyAlignment="1">
      <alignment vertical="top"/>
    </xf>
    <xf numFmtId="0" fontId="37" fillId="0" borderId="0" xfId="0" applyFont="1" applyAlignment="1">
      <alignment vertical="top" wrapText="1"/>
    </xf>
    <xf numFmtId="0" fontId="35" fillId="30" borderId="0" xfId="0" applyFont="1" applyFill="1" applyAlignment="1">
      <alignment vertical="top"/>
    </xf>
    <xf numFmtId="0" fontId="27" fillId="0" borderId="6" xfId="0" quotePrefix="1" applyFont="1" applyBorder="1" applyAlignment="1">
      <alignment vertical="top" wrapText="1"/>
    </xf>
    <xf numFmtId="0" fontId="28" fillId="0" borderId="6" xfId="0" quotePrefix="1" applyFont="1" applyBorder="1" applyAlignment="1">
      <alignment vertical="top" wrapText="1"/>
    </xf>
    <xf numFmtId="0" fontId="29" fillId="0" borderId="6" xfId="0" quotePrefix="1" applyFont="1" applyBorder="1" applyAlignment="1">
      <alignment vertical="top" wrapText="1"/>
    </xf>
    <xf numFmtId="0" fontId="35" fillId="30" borderId="0" xfId="0" applyFont="1" applyFill="1" applyAlignment="1">
      <alignment horizontal="center" vertical="top" wrapText="1"/>
    </xf>
    <xf numFmtId="0" fontId="31" fillId="0" borderId="6" xfId="0" applyFont="1" applyBorder="1" applyAlignment="1">
      <alignment vertical="top" wrapText="1"/>
    </xf>
    <xf numFmtId="0" fontId="31" fillId="0" borderId="6" xfId="0" quotePrefix="1" applyFont="1" applyBorder="1" applyAlignment="1">
      <alignment vertical="top" wrapText="1"/>
    </xf>
    <xf numFmtId="0" fontId="38" fillId="0" borderId="6" xfId="0" quotePrefix="1" applyFont="1" applyBorder="1" applyAlignment="1">
      <alignment vertical="top" wrapText="1"/>
    </xf>
    <xf numFmtId="0" fontId="27" fillId="0" borderId="0" xfId="0" applyFont="1" applyAlignment="1">
      <alignment horizontal="center" vertical="top" wrapText="1"/>
    </xf>
    <xf numFmtId="0" fontId="35" fillId="31" borderId="0" xfId="0" applyFont="1" applyFill="1" applyAlignment="1">
      <alignment vertical="top" wrapText="1"/>
    </xf>
    <xf numFmtId="0" fontId="35" fillId="31" borderId="0" xfId="0" applyFont="1" applyFill="1" applyAlignment="1">
      <alignment horizontal="center" vertical="top" wrapText="1"/>
    </xf>
    <xf numFmtId="0" fontId="27" fillId="0" borderId="0" xfId="0" applyFont="1" applyFill="1" applyAlignment="1">
      <alignment vertical="top" wrapText="1"/>
    </xf>
    <xf numFmtId="0" fontId="28" fillId="0" borderId="0" xfId="0" applyFont="1" applyFill="1" applyAlignment="1">
      <alignment horizontal="center" vertical="top" wrapText="1"/>
    </xf>
    <xf numFmtId="0" fontId="31" fillId="0" borderId="0" xfId="0" applyFont="1" applyFill="1" applyAlignment="1">
      <alignment horizontal="center" vertical="top" wrapText="1"/>
    </xf>
    <xf numFmtId="0" fontId="29" fillId="0" borderId="0" xfId="0" applyFont="1" applyFill="1" applyAlignment="1">
      <alignment horizontal="center" vertical="top" wrapText="1"/>
    </xf>
    <xf numFmtId="0" fontId="25" fillId="0" borderId="0" xfId="0" applyFont="1" applyFill="1" applyAlignment="1">
      <alignment vertical="top" wrapText="1"/>
    </xf>
    <xf numFmtId="49" fontId="27" fillId="0" borderId="0" xfId="0" applyNumberFormat="1" applyFont="1" applyFill="1" applyAlignment="1">
      <alignment vertical="top" wrapText="1"/>
    </xf>
    <xf numFmtId="49" fontId="25" fillId="0" borderId="0" xfId="0" applyNumberFormat="1" applyFont="1" applyFill="1" applyAlignment="1">
      <alignment vertical="top" wrapText="1"/>
    </xf>
  </cellXfs>
  <cellStyles count="1">
    <cellStyle name="Normal" xfId="0" builtinId="0"/>
  </cellStyles>
  <dxfs count="1">
    <dxf>
      <fill>
        <patternFill patternType="solid">
          <fgColor rgb="FFFFFFFF"/>
          <bgColor rgb="FF000000"/>
        </patternFill>
      </fill>
    </dxf>
  </dxfs>
  <tableStyles count="0" defaultTableStyle="TableStyleMedium2" defaultPivotStyle="PivotStyleLight16"/>
  <colors>
    <mruColors>
      <color rgb="FFFF7C80"/>
      <color rgb="FFCC99FF"/>
      <color rgb="FFFFC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N254"/>
  <sheetViews>
    <sheetView tabSelected="1" zoomScaleNormal="100" workbookViewId="0">
      <pane xSplit="5" ySplit="1" topLeftCell="F2" activePane="bottomRight" state="frozen"/>
      <selection pane="topRight" activeCell="G1" sqref="G1"/>
      <selection pane="bottomLeft" activeCell="A2" sqref="A2"/>
      <selection pane="bottomRight"/>
    </sheetView>
  </sheetViews>
  <sheetFormatPr defaultColWidth="9.08984375" defaultRowHeight="11.5" x14ac:dyDescent="0.35"/>
  <cols>
    <col min="1" max="1" width="16" style="210" bestFit="1" customWidth="1"/>
    <col min="2" max="2" width="18.7265625" style="210" bestFit="1" customWidth="1"/>
    <col min="3" max="3" width="8.6328125" style="210" bestFit="1" customWidth="1"/>
    <col min="4" max="4" width="6.7265625" style="210" bestFit="1" customWidth="1"/>
    <col min="5" max="5" width="44.6328125" style="210" bestFit="1" customWidth="1"/>
    <col min="6" max="6" width="4.36328125" style="230" customWidth="1"/>
    <col min="7" max="7" width="4.36328125" style="233" customWidth="1"/>
    <col min="8" max="8" width="4.36328125" style="236" customWidth="1"/>
    <col min="9" max="39" width="3.453125" style="214" customWidth="1"/>
    <col min="40" max="40" width="4.08984375" style="214" customWidth="1"/>
    <col min="41" max="16384" width="9.08984375" style="210"/>
  </cols>
  <sheetData>
    <row r="1" spans="1:40" s="202" customFormat="1" ht="64" thickTop="1" x14ac:dyDescent="0.35">
      <c r="A1" s="240" t="s">
        <v>296</v>
      </c>
      <c r="B1" s="240" t="s">
        <v>0</v>
      </c>
      <c r="C1" s="240" t="s">
        <v>1</v>
      </c>
      <c r="D1" s="240" t="s">
        <v>2</v>
      </c>
      <c r="E1" s="240" t="s">
        <v>3</v>
      </c>
      <c r="F1" s="237" t="s">
        <v>10</v>
      </c>
      <c r="G1" s="238" t="s">
        <v>15</v>
      </c>
      <c r="H1" s="239" t="s">
        <v>600</v>
      </c>
      <c r="I1" s="241" t="s">
        <v>1403</v>
      </c>
      <c r="J1" s="241" t="s">
        <v>1404</v>
      </c>
      <c r="K1" s="242" t="s">
        <v>66</v>
      </c>
      <c r="L1" s="243" t="s">
        <v>677</v>
      </c>
      <c r="M1" s="243" t="s">
        <v>11</v>
      </c>
      <c r="N1" s="243" t="s">
        <v>22</v>
      </c>
      <c r="O1" s="243" t="s">
        <v>124</v>
      </c>
      <c r="P1" s="243" t="s">
        <v>48</v>
      </c>
      <c r="Q1" s="243" t="s">
        <v>59</v>
      </c>
      <c r="R1" s="243" t="s">
        <v>1436</v>
      </c>
      <c r="S1" s="243" t="s">
        <v>16</v>
      </c>
      <c r="T1" s="243" t="s">
        <v>58</v>
      </c>
      <c r="U1" s="243" t="s">
        <v>2192</v>
      </c>
      <c r="V1" s="243" t="s">
        <v>2478</v>
      </c>
      <c r="W1" s="244" t="s">
        <v>753</v>
      </c>
      <c r="X1" s="241" t="s">
        <v>27</v>
      </c>
      <c r="Y1" s="241" t="s">
        <v>28</v>
      </c>
      <c r="Z1" s="241" t="s">
        <v>29</v>
      </c>
      <c r="AA1" s="241" t="s">
        <v>30</v>
      </c>
      <c r="AB1" s="241" t="s">
        <v>2651</v>
      </c>
      <c r="AC1" s="241" t="s">
        <v>33</v>
      </c>
      <c r="AD1" s="241" t="s">
        <v>41</v>
      </c>
      <c r="AE1" s="241" t="s">
        <v>42</v>
      </c>
      <c r="AF1" s="245" t="s">
        <v>6</v>
      </c>
      <c r="AG1" s="241" t="s">
        <v>44</v>
      </c>
      <c r="AH1" s="241" t="s">
        <v>67</v>
      </c>
      <c r="AI1" s="241" t="s">
        <v>68</v>
      </c>
      <c r="AJ1" s="241" t="s">
        <v>69</v>
      </c>
      <c r="AK1" s="241" t="s">
        <v>752</v>
      </c>
      <c r="AL1" s="241" t="s">
        <v>1435</v>
      </c>
      <c r="AM1" s="246" t="s">
        <v>133</v>
      </c>
      <c r="AN1" s="241" t="s">
        <v>1738</v>
      </c>
    </row>
    <row r="2" spans="1:40" ht="23" x14ac:dyDescent="0.35">
      <c r="A2" s="203" t="s">
        <v>2825</v>
      </c>
      <c r="B2" s="203" t="s">
        <v>92</v>
      </c>
      <c r="C2" s="203" t="s">
        <v>8</v>
      </c>
      <c r="D2" s="203">
        <v>100</v>
      </c>
      <c r="E2" s="203" t="s">
        <v>1877</v>
      </c>
      <c r="F2" s="228"/>
      <c r="G2" s="231">
        <v>1</v>
      </c>
      <c r="H2" s="234"/>
      <c r="I2" s="205"/>
      <c r="J2" s="205"/>
      <c r="K2" s="207"/>
      <c r="L2" s="208"/>
      <c r="M2" s="208"/>
      <c r="N2" s="208"/>
      <c r="O2" s="208"/>
      <c r="P2" s="208" t="s">
        <v>12</v>
      </c>
      <c r="Q2" s="208"/>
      <c r="R2" s="208"/>
      <c r="S2" s="208"/>
      <c r="T2" s="208"/>
      <c r="U2" s="208"/>
      <c r="V2" s="208"/>
      <c r="W2" s="209"/>
      <c r="X2" s="205"/>
      <c r="Y2" s="205"/>
      <c r="Z2" s="205"/>
      <c r="AA2" s="205"/>
      <c r="AB2" s="205"/>
      <c r="AC2" s="205"/>
      <c r="AD2" s="205"/>
      <c r="AE2" s="205"/>
      <c r="AF2" s="204"/>
      <c r="AG2" s="205"/>
      <c r="AH2" s="205"/>
      <c r="AI2" s="205">
        <v>1</v>
      </c>
      <c r="AJ2" s="205"/>
      <c r="AK2" s="205"/>
      <c r="AL2" s="205"/>
      <c r="AM2" s="206"/>
      <c r="AN2" s="205">
        <f t="shared" ref="AN2:AN65" si="0">SUM(AF2:AM2)</f>
        <v>1</v>
      </c>
    </row>
    <row r="3" spans="1:40" ht="23" x14ac:dyDescent="0.35">
      <c r="A3" s="203" t="s">
        <v>2825</v>
      </c>
      <c r="B3" s="203" t="s">
        <v>50</v>
      </c>
      <c r="C3" s="203" t="s">
        <v>8</v>
      </c>
      <c r="D3" s="203">
        <v>200</v>
      </c>
      <c r="E3" s="203" t="s">
        <v>56</v>
      </c>
      <c r="F3" s="228"/>
      <c r="G3" s="231">
        <v>2</v>
      </c>
      <c r="H3" s="234"/>
      <c r="I3" s="205"/>
      <c r="J3" s="205" t="s">
        <v>12</v>
      </c>
      <c r="K3" s="204"/>
      <c r="L3" s="205"/>
      <c r="M3" s="205"/>
      <c r="N3" s="205"/>
      <c r="O3" s="205"/>
      <c r="P3" s="205" t="s">
        <v>12</v>
      </c>
      <c r="Q3" s="205"/>
      <c r="R3" s="205"/>
      <c r="S3" s="205"/>
      <c r="T3" s="205"/>
      <c r="U3" s="205"/>
      <c r="V3" s="205"/>
      <c r="W3" s="206"/>
      <c r="X3" s="205"/>
      <c r="Y3" s="205"/>
      <c r="Z3" s="205"/>
      <c r="AA3" s="205"/>
      <c r="AB3" s="205"/>
      <c r="AC3" s="205"/>
      <c r="AD3" s="205"/>
      <c r="AE3" s="205"/>
      <c r="AF3" s="204"/>
      <c r="AG3" s="205">
        <v>1</v>
      </c>
      <c r="AH3" s="205"/>
      <c r="AI3" s="205"/>
      <c r="AJ3" s="205"/>
      <c r="AK3" s="205"/>
      <c r="AL3" s="205"/>
      <c r="AM3" s="206"/>
      <c r="AN3" s="205">
        <f t="shared" si="0"/>
        <v>1</v>
      </c>
    </row>
    <row r="4" spans="1:40" ht="23" x14ac:dyDescent="0.35">
      <c r="A4" s="203" t="s">
        <v>2825</v>
      </c>
      <c r="B4" s="203" t="s">
        <v>51</v>
      </c>
      <c r="C4" s="203" t="s">
        <v>8</v>
      </c>
      <c r="D4" s="203">
        <v>200</v>
      </c>
      <c r="E4" s="203" t="s">
        <v>57</v>
      </c>
      <c r="F4" s="228"/>
      <c r="G4" s="231">
        <v>2</v>
      </c>
      <c r="H4" s="234"/>
      <c r="I4" s="205"/>
      <c r="J4" s="205" t="s">
        <v>12</v>
      </c>
      <c r="K4" s="204"/>
      <c r="L4" s="205"/>
      <c r="M4" s="205"/>
      <c r="N4" s="205"/>
      <c r="O4" s="205"/>
      <c r="P4" s="205" t="s">
        <v>12</v>
      </c>
      <c r="Q4" s="205"/>
      <c r="R4" s="205"/>
      <c r="S4" s="205"/>
      <c r="T4" s="205"/>
      <c r="U4" s="205"/>
      <c r="V4" s="205"/>
      <c r="W4" s="206"/>
      <c r="X4" s="205"/>
      <c r="Y4" s="205"/>
      <c r="Z4" s="205"/>
      <c r="AA4" s="205"/>
      <c r="AB4" s="205"/>
      <c r="AC4" s="205"/>
      <c r="AD4" s="205"/>
      <c r="AE4" s="205"/>
      <c r="AF4" s="204"/>
      <c r="AG4" s="205">
        <v>1</v>
      </c>
      <c r="AH4" s="205"/>
      <c r="AI4" s="205"/>
      <c r="AJ4" s="205"/>
      <c r="AK4" s="205"/>
      <c r="AL4" s="205"/>
      <c r="AM4" s="206"/>
      <c r="AN4" s="205">
        <f t="shared" si="0"/>
        <v>1</v>
      </c>
    </row>
    <row r="5" spans="1:40" ht="23" x14ac:dyDescent="0.35">
      <c r="A5" s="203" t="s">
        <v>2825</v>
      </c>
      <c r="B5" s="203" t="s">
        <v>93</v>
      </c>
      <c r="C5" s="203" t="s">
        <v>8</v>
      </c>
      <c r="D5" s="203">
        <v>300</v>
      </c>
      <c r="E5" s="203" t="s">
        <v>94</v>
      </c>
      <c r="F5" s="228"/>
      <c r="G5" s="231">
        <v>1</v>
      </c>
      <c r="H5" s="234">
        <v>2</v>
      </c>
      <c r="I5" s="205"/>
      <c r="J5" s="205"/>
      <c r="K5" s="204" t="s">
        <v>12</v>
      </c>
      <c r="L5" s="205"/>
      <c r="M5" s="205"/>
      <c r="N5" s="205" t="s">
        <v>12</v>
      </c>
      <c r="O5" s="205"/>
      <c r="P5" s="205"/>
      <c r="Q5" s="205"/>
      <c r="R5" s="205"/>
      <c r="S5" s="205"/>
      <c r="T5" s="205"/>
      <c r="U5" s="205"/>
      <c r="V5" s="205"/>
      <c r="W5" s="206"/>
      <c r="X5" s="205"/>
      <c r="Y5" s="205"/>
      <c r="Z5" s="205"/>
      <c r="AA5" s="205"/>
      <c r="AB5" s="205"/>
      <c r="AC5" s="205"/>
      <c r="AD5" s="205"/>
      <c r="AE5" s="205"/>
      <c r="AF5" s="204"/>
      <c r="AG5" s="205"/>
      <c r="AH5" s="205"/>
      <c r="AI5" s="205">
        <v>1</v>
      </c>
      <c r="AJ5" s="205"/>
      <c r="AK5" s="205"/>
      <c r="AL5" s="205"/>
      <c r="AM5" s="206"/>
      <c r="AN5" s="205">
        <f t="shared" si="0"/>
        <v>1</v>
      </c>
    </row>
    <row r="6" spans="1:40" ht="23" x14ac:dyDescent="0.35">
      <c r="A6" s="203" t="s">
        <v>2825</v>
      </c>
      <c r="B6" s="203" t="s">
        <v>95</v>
      </c>
      <c r="C6" s="203" t="s">
        <v>8</v>
      </c>
      <c r="D6" s="203">
        <v>200</v>
      </c>
      <c r="E6" s="203" t="s">
        <v>1831</v>
      </c>
      <c r="F6" s="228">
        <v>2</v>
      </c>
      <c r="G6" s="231"/>
      <c r="H6" s="234"/>
      <c r="I6" s="205"/>
      <c r="J6" s="205" t="s">
        <v>12</v>
      </c>
      <c r="K6" s="204"/>
      <c r="L6" s="205"/>
      <c r="M6" s="205" t="s">
        <v>12</v>
      </c>
      <c r="N6" s="205"/>
      <c r="O6" s="205"/>
      <c r="P6" s="205"/>
      <c r="Q6" s="205"/>
      <c r="R6" s="205"/>
      <c r="S6" s="205"/>
      <c r="T6" s="205"/>
      <c r="U6" s="205"/>
      <c r="V6" s="205"/>
      <c r="W6" s="206"/>
      <c r="X6" s="205"/>
      <c r="Y6" s="205"/>
      <c r="Z6" s="205"/>
      <c r="AA6" s="205"/>
      <c r="AB6" s="205"/>
      <c r="AC6" s="205"/>
      <c r="AD6" s="205"/>
      <c r="AE6" s="205"/>
      <c r="AF6" s="204"/>
      <c r="AG6" s="205"/>
      <c r="AH6" s="205"/>
      <c r="AI6" s="205">
        <v>1</v>
      </c>
      <c r="AJ6" s="205"/>
      <c r="AK6" s="205"/>
      <c r="AL6" s="205"/>
      <c r="AM6" s="206"/>
      <c r="AN6" s="205">
        <f t="shared" si="0"/>
        <v>1</v>
      </c>
    </row>
    <row r="7" spans="1:40" ht="23" x14ac:dyDescent="0.35">
      <c r="A7" s="203" t="s">
        <v>2825</v>
      </c>
      <c r="B7" s="203" t="s">
        <v>127</v>
      </c>
      <c r="C7" s="203" t="s">
        <v>8</v>
      </c>
      <c r="D7" s="203">
        <v>100</v>
      </c>
      <c r="E7" s="203" t="s">
        <v>1885</v>
      </c>
      <c r="F7" s="228"/>
      <c r="G7" s="231"/>
      <c r="H7" s="234"/>
      <c r="I7" s="205" t="s">
        <v>12</v>
      </c>
      <c r="J7" s="205"/>
      <c r="K7" s="204"/>
      <c r="L7" s="205"/>
      <c r="M7" s="205"/>
      <c r="N7" s="205"/>
      <c r="O7" s="205" t="s">
        <v>12</v>
      </c>
      <c r="P7" s="205"/>
      <c r="Q7" s="205" t="s">
        <v>12</v>
      </c>
      <c r="R7" s="205"/>
      <c r="S7" s="205"/>
      <c r="T7" s="205"/>
      <c r="U7" s="205"/>
      <c r="V7" s="205"/>
      <c r="W7" s="206"/>
      <c r="X7" s="205"/>
      <c r="Y7" s="205"/>
      <c r="Z7" s="205"/>
      <c r="AA7" s="205"/>
      <c r="AB7" s="205"/>
      <c r="AC7" s="205"/>
      <c r="AD7" s="205"/>
      <c r="AE7" s="205"/>
      <c r="AF7" s="204"/>
      <c r="AG7" s="205"/>
      <c r="AH7" s="205">
        <v>1</v>
      </c>
      <c r="AI7" s="205"/>
      <c r="AJ7" s="205"/>
      <c r="AK7" s="205"/>
      <c r="AL7" s="205"/>
      <c r="AM7" s="206"/>
      <c r="AN7" s="205">
        <f t="shared" si="0"/>
        <v>1</v>
      </c>
    </row>
    <row r="8" spans="1:40" ht="23" x14ac:dyDescent="0.35">
      <c r="A8" s="203" t="s">
        <v>2825</v>
      </c>
      <c r="B8" s="203" t="s">
        <v>52</v>
      </c>
      <c r="C8" s="203" t="s">
        <v>8</v>
      </c>
      <c r="D8" s="203">
        <v>200</v>
      </c>
      <c r="E8" s="203" t="s">
        <v>132</v>
      </c>
      <c r="F8" s="228"/>
      <c r="G8" s="231"/>
      <c r="H8" s="234">
        <v>2</v>
      </c>
      <c r="I8" s="205" t="s">
        <v>12</v>
      </c>
      <c r="J8" s="205"/>
      <c r="K8" s="204"/>
      <c r="L8" s="205"/>
      <c r="M8" s="205"/>
      <c r="N8" s="205" t="s">
        <v>12</v>
      </c>
      <c r="O8" s="205"/>
      <c r="P8" s="205"/>
      <c r="Q8" s="205"/>
      <c r="R8" s="205"/>
      <c r="S8" s="205"/>
      <c r="T8" s="205"/>
      <c r="U8" s="205"/>
      <c r="V8" s="205"/>
      <c r="W8" s="206"/>
      <c r="X8" s="205"/>
      <c r="Y8" s="205"/>
      <c r="Z8" s="205"/>
      <c r="AA8" s="205"/>
      <c r="AB8" s="205"/>
      <c r="AC8" s="205"/>
      <c r="AD8" s="205"/>
      <c r="AE8" s="205"/>
      <c r="AF8" s="204"/>
      <c r="AG8" s="205">
        <v>1</v>
      </c>
      <c r="AH8" s="205"/>
      <c r="AI8" s="205"/>
      <c r="AJ8" s="205"/>
      <c r="AK8" s="205"/>
      <c r="AL8" s="205"/>
      <c r="AM8" s="206"/>
      <c r="AN8" s="205">
        <f t="shared" si="0"/>
        <v>1</v>
      </c>
    </row>
    <row r="9" spans="1:40" ht="23" x14ac:dyDescent="0.35">
      <c r="A9" s="203" t="s">
        <v>2825</v>
      </c>
      <c r="B9" s="203" t="s">
        <v>17</v>
      </c>
      <c r="C9" s="203" t="s">
        <v>8</v>
      </c>
      <c r="D9" s="203">
        <v>200</v>
      </c>
      <c r="E9" s="203" t="s">
        <v>1832</v>
      </c>
      <c r="F9" s="228">
        <v>1</v>
      </c>
      <c r="G9" s="231"/>
      <c r="H9" s="234"/>
      <c r="I9" s="205"/>
      <c r="J9" s="205"/>
      <c r="K9" s="204"/>
      <c r="L9" s="205"/>
      <c r="M9" s="205" t="s">
        <v>12</v>
      </c>
      <c r="N9" s="205"/>
      <c r="O9" s="205"/>
      <c r="P9" s="205"/>
      <c r="Q9" s="205"/>
      <c r="R9" s="205"/>
      <c r="S9" s="205"/>
      <c r="T9" s="205"/>
      <c r="U9" s="205"/>
      <c r="V9" s="205"/>
      <c r="W9" s="206"/>
      <c r="X9" s="205"/>
      <c r="Y9" s="205"/>
      <c r="Z9" s="205"/>
      <c r="AA9" s="205"/>
      <c r="AB9" s="205"/>
      <c r="AC9" s="205"/>
      <c r="AD9" s="205"/>
      <c r="AE9" s="205"/>
      <c r="AF9" s="204">
        <v>2</v>
      </c>
      <c r="AG9" s="205">
        <v>2</v>
      </c>
      <c r="AH9" s="205"/>
      <c r="AI9" s="205"/>
      <c r="AJ9" s="205"/>
      <c r="AK9" s="205"/>
      <c r="AL9" s="205"/>
      <c r="AM9" s="206"/>
      <c r="AN9" s="205">
        <f t="shared" si="0"/>
        <v>4</v>
      </c>
    </row>
    <row r="10" spans="1:40" ht="23" x14ac:dyDescent="0.35">
      <c r="A10" s="203" t="s">
        <v>2825</v>
      </c>
      <c r="B10" s="203" t="s">
        <v>128</v>
      </c>
      <c r="C10" s="203" t="s">
        <v>8</v>
      </c>
      <c r="D10" s="203">
        <v>100</v>
      </c>
      <c r="E10" s="203" t="s">
        <v>130</v>
      </c>
      <c r="F10" s="228">
        <v>1</v>
      </c>
      <c r="G10" s="231"/>
      <c r="H10" s="234"/>
      <c r="I10" s="205"/>
      <c r="J10" s="205"/>
      <c r="K10" s="204"/>
      <c r="L10" s="205"/>
      <c r="M10" s="205"/>
      <c r="N10" s="205"/>
      <c r="O10" s="205"/>
      <c r="P10" s="205"/>
      <c r="Q10" s="205"/>
      <c r="R10" s="205"/>
      <c r="S10" s="205"/>
      <c r="T10" s="205" t="s">
        <v>12</v>
      </c>
      <c r="U10" s="205"/>
      <c r="V10" s="205"/>
      <c r="W10" s="206"/>
      <c r="X10" s="205"/>
      <c r="Y10" s="205"/>
      <c r="Z10" s="205"/>
      <c r="AA10" s="205"/>
      <c r="AB10" s="205"/>
      <c r="AC10" s="205"/>
      <c r="AD10" s="205"/>
      <c r="AE10" s="205"/>
      <c r="AF10" s="204"/>
      <c r="AG10" s="205"/>
      <c r="AH10" s="205">
        <v>1</v>
      </c>
      <c r="AI10" s="205"/>
      <c r="AJ10" s="205"/>
      <c r="AK10" s="205"/>
      <c r="AL10" s="205"/>
      <c r="AM10" s="206"/>
      <c r="AN10" s="205">
        <f t="shared" si="0"/>
        <v>1</v>
      </c>
    </row>
    <row r="11" spans="1:40" ht="23" x14ac:dyDescent="0.35">
      <c r="A11" s="203" t="s">
        <v>2825</v>
      </c>
      <c r="B11" s="203" t="s">
        <v>96</v>
      </c>
      <c r="C11" s="203" t="s">
        <v>8</v>
      </c>
      <c r="D11" s="203">
        <v>200</v>
      </c>
      <c r="E11" s="203" t="s">
        <v>97</v>
      </c>
      <c r="F11" s="228">
        <v>2</v>
      </c>
      <c r="G11" s="231"/>
      <c r="H11" s="234"/>
      <c r="I11" s="205"/>
      <c r="J11" s="205" t="s">
        <v>12</v>
      </c>
      <c r="K11" s="204"/>
      <c r="L11" s="205"/>
      <c r="M11" s="205" t="s">
        <v>12</v>
      </c>
      <c r="N11" s="205"/>
      <c r="O11" s="205"/>
      <c r="P11" s="205"/>
      <c r="Q11" s="205"/>
      <c r="R11" s="205"/>
      <c r="S11" s="205"/>
      <c r="T11" s="205"/>
      <c r="U11" s="205"/>
      <c r="V11" s="205"/>
      <c r="W11" s="206"/>
      <c r="X11" s="205"/>
      <c r="Y11" s="205"/>
      <c r="Z11" s="205"/>
      <c r="AA11" s="205"/>
      <c r="AB11" s="205"/>
      <c r="AC11" s="205"/>
      <c r="AD11" s="205"/>
      <c r="AE11" s="205"/>
      <c r="AF11" s="204"/>
      <c r="AG11" s="205"/>
      <c r="AH11" s="205"/>
      <c r="AI11" s="205">
        <v>1</v>
      </c>
      <c r="AJ11" s="205"/>
      <c r="AK11" s="205"/>
      <c r="AL11" s="205"/>
      <c r="AM11" s="206"/>
      <c r="AN11" s="205">
        <f t="shared" si="0"/>
        <v>1</v>
      </c>
    </row>
    <row r="12" spans="1:40" ht="23" x14ac:dyDescent="0.35">
      <c r="A12" s="203" t="s">
        <v>2825</v>
      </c>
      <c r="B12" s="203" t="s">
        <v>7</v>
      </c>
      <c r="C12" s="203" t="s">
        <v>8</v>
      </c>
      <c r="D12" s="203">
        <v>100</v>
      </c>
      <c r="E12" s="203" t="s">
        <v>9</v>
      </c>
      <c r="F12" s="228">
        <v>1</v>
      </c>
      <c r="G12" s="231"/>
      <c r="H12" s="234"/>
      <c r="I12" s="205"/>
      <c r="J12" s="205"/>
      <c r="K12" s="204"/>
      <c r="L12" s="205"/>
      <c r="M12" s="205" t="s">
        <v>12</v>
      </c>
      <c r="N12" s="205"/>
      <c r="O12" s="205"/>
      <c r="P12" s="205"/>
      <c r="Q12" s="205"/>
      <c r="R12" s="205"/>
      <c r="S12" s="205"/>
      <c r="T12" s="205"/>
      <c r="U12" s="205"/>
      <c r="V12" s="205"/>
      <c r="W12" s="206"/>
      <c r="X12" s="205"/>
      <c r="Y12" s="205"/>
      <c r="Z12" s="205"/>
      <c r="AA12" s="205"/>
      <c r="AB12" s="205"/>
      <c r="AC12" s="205"/>
      <c r="AD12" s="205"/>
      <c r="AE12" s="205"/>
      <c r="AF12" s="204">
        <v>4</v>
      </c>
      <c r="AG12" s="205">
        <v>2</v>
      </c>
      <c r="AH12" s="205"/>
      <c r="AI12" s="205">
        <v>2</v>
      </c>
      <c r="AJ12" s="205"/>
      <c r="AK12" s="205"/>
      <c r="AL12" s="205"/>
      <c r="AM12" s="206"/>
      <c r="AN12" s="205">
        <f t="shared" si="0"/>
        <v>8</v>
      </c>
    </row>
    <row r="13" spans="1:40" ht="23" x14ac:dyDescent="0.35">
      <c r="A13" s="203" t="s">
        <v>2825</v>
      </c>
      <c r="B13" s="203" t="s">
        <v>47</v>
      </c>
      <c r="C13" s="203" t="s">
        <v>8</v>
      </c>
      <c r="D13" s="203">
        <v>200</v>
      </c>
      <c r="E13" s="203" t="s">
        <v>49</v>
      </c>
      <c r="F13" s="228">
        <v>1</v>
      </c>
      <c r="G13" s="231"/>
      <c r="H13" s="234">
        <v>1</v>
      </c>
      <c r="I13" s="205" t="s">
        <v>12</v>
      </c>
      <c r="J13" s="205" t="s">
        <v>12</v>
      </c>
      <c r="K13" s="204"/>
      <c r="L13" s="205"/>
      <c r="M13" s="205"/>
      <c r="N13" s="205" t="s">
        <v>12</v>
      </c>
      <c r="O13" s="205"/>
      <c r="P13" s="205"/>
      <c r="Q13" s="205"/>
      <c r="R13" s="205"/>
      <c r="S13" s="205"/>
      <c r="T13" s="205"/>
      <c r="U13" s="205"/>
      <c r="V13" s="205"/>
      <c r="W13" s="206"/>
      <c r="X13" s="205"/>
      <c r="Y13" s="205"/>
      <c r="Z13" s="205"/>
      <c r="AA13" s="205"/>
      <c r="AB13" s="205"/>
      <c r="AC13" s="205"/>
      <c r="AD13" s="205"/>
      <c r="AE13" s="205"/>
      <c r="AF13" s="204">
        <v>1</v>
      </c>
      <c r="AG13" s="205"/>
      <c r="AH13" s="205"/>
      <c r="AI13" s="205"/>
      <c r="AJ13" s="205"/>
      <c r="AK13" s="205"/>
      <c r="AL13" s="205"/>
      <c r="AM13" s="206"/>
      <c r="AN13" s="205">
        <f t="shared" si="0"/>
        <v>1</v>
      </c>
    </row>
    <row r="14" spans="1:40" ht="23" x14ac:dyDescent="0.35">
      <c r="A14" s="203" t="s">
        <v>2825</v>
      </c>
      <c r="B14" s="203" t="s">
        <v>124</v>
      </c>
      <c r="C14" s="203" t="s">
        <v>8</v>
      </c>
      <c r="D14" s="203">
        <v>0</v>
      </c>
      <c r="E14" s="203" t="s">
        <v>1885</v>
      </c>
      <c r="F14" s="228"/>
      <c r="G14" s="231"/>
      <c r="H14" s="234"/>
      <c r="I14" s="205" t="s">
        <v>12</v>
      </c>
      <c r="J14" s="205"/>
      <c r="K14" s="204"/>
      <c r="L14" s="205"/>
      <c r="M14" s="205"/>
      <c r="N14" s="205"/>
      <c r="O14" s="205" t="s">
        <v>12</v>
      </c>
      <c r="P14" s="205"/>
      <c r="Q14" s="205"/>
      <c r="R14" s="205"/>
      <c r="S14" s="205"/>
      <c r="T14" s="205"/>
      <c r="U14" s="205"/>
      <c r="V14" s="205"/>
      <c r="W14" s="206"/>
      <c r="X14" s="205"/>
      <c r="Y14" s="205"/>
      <c r="Z14" s="205"/>
      <c r="AA14" s="205"/>
      <c r="AB14" s="205"/>
      <c r="AC14" s="205"/>
      <c r="AD14" s="205"/>
      <c r="AE14" s="205"/>
      <c r="AF14" s="204"/>
      <c r="AG14" s="205"/>
      <c r="AH14" s="205">
        <v>2</v>
      </c>
      <c r="AI14" s="205"/>
      <c r="AJ14" s="205"/>
      <c r="AK14" s="205"/>
      <c r="AL14" s="205"/>
      <c r="AM14" s="206"/>
      <c r="AN14" s="205">
        <f t="shared" si="0"/>
        <v>2</v>
      </c>
    </row>
    <row r="15" spans="1:40" ht="23" x14ac:dyDescent="0.35">
      <c r="A15" s="203" t="s">
        <v>2825</v>
      </c>
      <c r="B15" s="203" t="s">
        <v>72</v>
      </c>
      <c r="C15" s="203" t="s">
        <v>8</v>
      </c>
      <c r="D15" s="203">
        <v>300</v>
      </c>
      <c r="E15" s="203" t="s">
        <v>1856</v>
      </c>
      <c r="F15" s="228"/>
      <c r="G15" s="231"/>
      <c r="H15" s="234">
        <v>3</v>
      </c>
      <c r="I15" s="205" t="s">
        <v>12</v>
      </c>
      <c r="J15" s="205"/>
      <c r="K15" s="204" t="s">
        <v>12</v>
      </c>
      <c r="L15" s="205"/>
      <c r="M15" s="205"/>
      <c r="N15" s="205"/>
      <c r="O15" s="205"/>
      <c r="P15" s="205"/>
      <c r="Q15" s="205"/>
      <c r="R15" s="205"/>
      <c r="S15" s="205"/>
      <c r="T15" s="205"/>
      <c r="U15" s="205"/>
      <c r="V15" s="205"/>
      <c r="W15" s="206"/>
      <c r="X15" s="205"/>
      <c r="Y15" s="205" t="s">
        <v>12</v>
      </c>
      <c r="Z15" s="205"/>
      <c r="AA15" s="205"/>
      <c r="AB15" s="205"/>
      <c r="AC15" s="205"/>
      <c r="AD15" s="205"/>
      <c r="AE15" s="205"/>
      <c r="AF15" s="204"/>
      <c r="AG15" s="205"/>
      <c r="AH15" s="205"/>
      <c r="AI15" s="205"/>
      <c r="AJ15" s="205">
        <v>1</v>
      </c>
      <c r="AK15" s="205"/>
      <c r="AL15" s="205"/>
      <c r="AM15" s="206"/>
      <c r="AN15" s="205">
        <f t="shared" si="0"/>
        <v>1</v>
      </c>
    </row>
    <row r="16" spans="1:40" ht="23" x14ac:dyDescent="0.35">
      <c r="A16" s="203" t="s">
        <v>2825</v>
      </c>
      <c r="B16" s="203" t="s">
        <v>71</v>
      </c>
      <c r="C16" s="203" t="s">
        <v>8</v>
      </c>
      <c r="D16" s="203">
        <v>100</v>
      </c>
      <c r="E16" s="203" t="s">
        <v>1854</v>
      </c>
      <c r="F16" s="228"/>
      <c r="G16" s="231"/>
      <c r="H16" s="234">
        <v>1</v>
      </c>
      <c r="I16" s="205"/>
      <c r="J16" s="205" t="s">
        <v>12</v>
      </c>
      <c r="K16" s="204"/>
      <c r="L16" s="205"/>
      <c r="M16" s="205"/>
      <c r="N16" s="205"/>
      <c r="O16" s="205"/>
      <c r="P16" s="205"/>
      <c r="Q16" s="205" t="s">
        <v>12</v>
      </c>
      <c r="R16" s="205"/>
      <c r="S16" s="205"/>
      <c r="T16" s="205"/>
      <c r="U16" s="205"/>
      <c r="V16" s="205"/>
      <c r="W16" s="206"/>
      <c r="X16" s="205"/>
      <c r="Y16" s="205"/>
      <c r="Z16" s="205"/>
      <c r="AA16" s="205"/>
      <c r="AB16" s="205"/>
      <c r="AC16" s="205"/>
      <c r="AD16" s="205"/>
      <c r="AE16" s="205"/>
      <c r="AF16" s="204"/>
      <c r="AG16" s="205"/>
      <c r="AH16" s="205"/>
      <c r="AI16" s="205"/>
      <c r="AJ16" s="205">
        <v>1</v>
      </c>
      <c r="AK16" s="205"/>
      <c r="AL16" s="205"/>
      <c r="AM16" s="206"/>
      <c r="AN16" s="205">
        <f t="shared" si="0"/>
        <v>1</v>
      </c>
    </row>
    <row r="17" spans="1:40" ht="23" x14ac:dyDescent="0.35">
      <c r="A17" s="203" t="s">
        <v>2825</v>
      </c>
      <c r="B17" s="203" t="s">
        <v>118</v>
      </c>
      <c r="C17" s="203" t="s">
        <v>8</v>
      </c>
      <c r="D17" s="203">
        <v>300</v>
      </c>
      <c r="E17" s="203" t="s">
        <v>119</v>
      </c>
      <c r="F17" s="228">
        <v>2</v>
      </c>
      <c r="G17" s="231"/>
      <c r="H17" s="234"/>
      <c r="I17" s="205"/>
      <c r="J17" s="205" t="s">
        <v>12</v>
      </c>
      <c r="K17" s="204"/>
      <c r="L17" s="205"/>
      <c r="M17" s="205" t="s">
        <v>12</v>
      </c>
      <c r="N17" s="205"/>
      <c r="O17" s="205"/>
      <c r="P17" s="205"/>
      <c r="Q17" s="205"/>
      <c r="R17" s="205"/>
      <c r="S17" s="205"/>
      <c r="T17" s="205"/>
      <c r="U17" s="205"/>
      <c r="V17" s="205"/>
      <c r="W17" s="206"/>
      <c r="X17" s="205"/>
      <c r="Y17" s="205"/>
      <c r="Z17" s="205"/>
      <c r="AA17" s="205"/>
      <c r="AB17" s="205"/>
      <c r="AC17" s="205"/>
      <c r="AD17" s="205"/>
      <c r="AE17" s="205"/>
      <c r="AF17" s="204"/>
      <c r="AG17" s="205"/>
      <c r="AH17" s="205">
        <v>1</v>
      </c>
      <c r="AI17" s="205"/>
      <c r="AJ17" s="205"/>
      <c r="AK17" s="205"/>
      <c r="AL17" s="205"/>
      <c r="AM17" s="206"/>
      <c r="AN17" s="205">
        <f t="shared" si="0"/>
        <v>1</v>
      </c>
    </row>
    <row r="18" spans="1:40" ht="23" x14ac:dyDescent="0.35">
      <c r="A18" s="203" t="s">
        <v>2825</v>
      </c>
      <c r="B18" s="203" t="s">
        <v>19</v>
      </c>
      <c r="C18" s="203" t="s">
        <v>8</v>
      </c>
      <c r="D18" s="203">
        <v>200</v>
      </c>
      <c r="E18" s="203" t="s">
        <v>24</v>
      </c>
      <c r="F18" s="228">
        <v>1</v>
      </c>
      <c r="G18" s="231">
        <v>1</v>
      </c>
      <c r="H18" s="234"/>
      <c r="I18" s="205"/>
      <c r="J18" s="205" t="s">
        <v>12</v>
      </c>
      <c r="K18" s="204"/>
      <c r="L18" s="205"/>
      <c r="M18" s="205"/>
      <c r="N18" s="205"/>
      <c r="O18" s="205"/>
      <c r="P18" s="205"/>
      <c r="Q18" s="205"/>
      <c r="R18" s="205"/>
      <c r="S18" s="205" t="s">
        <v>12</v>
      </c>
      <c r="T18" s="205"/>
      <c r="U18" s="205"/>
      <c r="V18" s="205"/>
      <c r="W18" s="206"/>
      <c r="X18" s="205"/>
      <c r="Y18" s="205"/>
      <c r="Z18" s="205"/>
      <c r="AA18" s="205"/>
      <c r="AB18" s="205"/>
      <c r="AC18" s="205"/>
      <c r="AD18" s="205"/>
      <c r="AE18" s="205"/>
      <c r="AF18" s="204">
        <v>1</v>
      </c>
      <c r="AG18" s="205"/>
      <c r="AH18" s="205"/>
      <c r="AI18" s="205"/>
      <c r="AJ18" s="205"/>
      <c r="AK18" s="205"/>
      <c r="AL18" s="205"/>
      <c r="AM18" s="206"/>
      <c r="AN18" s="205">
        <f t="shared" si="0"/>
        <v>1</v>
      </c>
    </row>
    <row r="19" spans="1:40" ht="23" x14ac:dyDescent="0.35">
      <c r="A19" s="203" t="s">
        <v>2825</v>
      </c>
      <c r="B19" s="203" t="s">
        <v>98</v>
      </c>
      <c r="C19" s="203" t="s">
        <v>8</v>
      </c>
      <c r="D19" s="203">
        <v>300</v>
      </c>
      <c r="E19" s="203" t="s">
        <v>1869</v>
      </c>
      <c r="F19" s="228"/>
      <c r="G19" s="231">
        <v>3</v>
      </c>
      <c r="H19" s="234"/>
      <c r="I19" s="205" t="s">
        <v>12</v>
      </c>
      <c r="J19" s="205"/>
      <c r="K19" s="204"/>
      <c r="L19" s="205"/>
      <c r="M19" s="205"/>
      <c r="N19" s="205"/>
      <c r="O19" s="205"/>
      <c r="P19" s="205" t="s">
        <v>12</v>
      </c>
      <c r="Q19" s="205"/>
      <c r="R19" s="205"/>
      <c r="S19" s="205"/>
      <c r="T19" s="205"/>
      <c r="U19" s="205"/>
      <c r="V19" s="205"/>
      <c r="W19" s="206"/>
      <c r="X19" s="205"/>
      <c r="Y19" s="205"/>
      <c r="Z19" s="205"/>
      <c r="AA19" s="205"/>
      <c r="AB19" s="205"/>
      <c r="AC19" s="205"/>
      <c r="AD19" s="205"/>
      <c r="AE19" s="205"/>
      <c r="AF19" s="204"/>
      <c r="AG19" s="205"/>
      <c r="AH19" s="205"/>
      <c r="AI19" s="205">
        <v>1</v>
      </c>
      <c r="AJ19" s="205"/>
      <c r="AK19" s="205"/>
      <c r="AL19" s="205"/>
      <c r="AM19" s="206"/>
      <c r="AN19" s="205">
        <f t="shared" si="0"/>
        <v>1</v>
      </c>
    </row>
    <row r="20" spans="1:40" ht="23" x14ac:dyDescent="0.35">
      <c r="A20" s="203" t="s">
        <v>2825</v>
      </c>
      <c r="B20" s="203" t="s">
        <v>99</v>
      </c>
      <c r="C20" s="203" t="s">
        <v>8</v>
      </c>
      <c r="D20" s="203">
        <v>200</v>
      </c>
      <c r="E20" s="203" t="s">
        <v>100</v>
      </c>
      <c r="F20" s="228"/>
      <c r="G20" s="231"/>
      <c r="H20" s="234">
        <v>2</v>
      </c>
      <c r="I20" s="205" t="s">
        <v>12</v>
      </c>
      <c r="J20" s="205"/>
      <c r="K20" s="204"/>
      <c r="L20" s="205"/>
      <c r="M20" s="205"/>
      <c r="N20" s="205" t="s">
        <v>12</v>
      </c>
      <c r="O20" s="205"/>
      <c r="P20" s="205"/>
      <c r="Q20" s="205"/>
      <c r="R20" s="205"/>
      <c r="S20" s="205"/>
      <c r="T20" s="205"/>
      <c r="U20" s="205"/>
      <c r="V20" s="205"/>
      <c r="W20" s="206"/>
      <c r="X20" s="205"/>
      <c r="Y20" s="205"/>
      <c r="Z20" s="205"/>
      <c r="AA20" s="205"/>
      <c r="AB20" s="205"/>
      <c r="AC20" s="205"/>
      <c r="AD20" s="205"/>
      <c r="AE20" s="205"/>
      <c r="AF20" s="204"/>
      <c r="AG20" s="205"/>
      <c r="AH20" s="205"/>
      <c r="AI20" s="205">
        <v>1</v>
      </c>
      <c r="AJ20" s="205"/>
      <c r="AK20" s="205"/>
      <c r="AL20" s="205"/>
      <c r="AM20" s="206"/>
      <c r="AN20" s="205">
        <f t="shared" si="0"/>
        <v>1</v>
      </c>
    </row>
    <row r="21" spans="1:40" ht="23" x14ac:dyDescent="0.35">
      <c r="A21" s="203" t="s">
        <v>2825</v>
      </c>
      <c r="B21" s="203" t="s">
        <v>101</v>
      </c>
      <c r="C21" s="203" t="s">
        <v>8</v>
      </c>
      <c r="D21" s="203">
        <v>200</v>
      </c>
      <c r="E21" s="203" t="s">
        <v>1872</v>
      </c>
      <c r="F21" s="228">
        <v>2</v>
      </c>
      <c r="G21" s="231"/>
      <c r="H21" s="234"/>
      <c r="I21" s="205"/>
      <c r="J21" s="205"/>
      <c r="K21" s="204"/>
      <c r="L21" s="205"/>
      <c r="M21" s="205"/>
      <c r="N21" s="205"/>
      <c r="O21" s="205"/>
      <c r="P21" s="205"/>
      <c r="Q21" s="205"/>
      <c r="R21" s="205"/>
      <c r="S21" s="205"/>
      <c r="T21" s="205" t="s">
        <v>12</v>
      </c>
      <c r="U21" s="205"/>
      <c r="V21" s="205"/>
      <c r="W21" s="206"/>
      <c r="X21" s="205"/>
      <c r="Y21" s="205"/>
      <c r="Z21" s="205"/>
      <c r="AA21" s="205"/>
      <c r="AB21" s="205"/>
      <c r="AC21" s="205"/>
      <c r="AD21" s="205"/>
      <c r="AE21" s="205"/>
      <c r="AF21" s="204"/>
      <c r="AG21" s="205"/>
      <c r="AH21" s="205"/>
      <c r="AI21" s="205">
        <v>1</v>
      </c>
      <c r="AJ21" s="205"/>
      <c r="AK21" s="205"/>
      <c r="AL21" s="205"/>
      <c r="AM21" s="206"/>
      <c r="AN21" s="205">
        <f t="shared" si="0"/>
        <v>1</v>
      </c>
    </row>
    <row r="22" spans="1:40" ht="23" x14ac:dyDescent="0.35">
      <c r="A22" s="203" t="s">
        <v>2825</v>
      </c>
      <c r="B22" s="203" t="s">
        <v>70</v>
      </c>
      <c r="C22" s="203" t="s">
        <v>8</v>
      </c>
      <c r="D22" s="203">
        <v>200</v>
      </c>
      <c r="E22" s="203" t="s">
        <v>1854</v>
      </c>
      <c r="F22" s="228"/>
      <c r="G22" s="231">
        <v>1</v>
      </c>
      <c r="H22" s="234"/>
      <c r="I22" s="205" t="s">
        <v>12</v>
      </c>
      <c r="J22" s="205"/>
      <c r="K22" s="204"/>
      <c r="L22" s="205"/>
      <c r="M22" s="205"/>
      <c r="N22" s="205"/>
      <c r="O22" s="205"/>
      <c r="P22" s="205"/>
      <c r="Q22" s="205" t="s">
        <v>12</v>
      </c>
      <c r="R22" s="205"/>
      <c r="S22" s="205"/>
      <c r="T22" s="205"/>
      <c r="U22" s="205"/>
      <c r="V22" s="205"/>
      <c r="W22" s="206"/>
      <c r="X22" s="205"/>
      <c r="Y22" s="205"/>
      <c r="Z22" s="205"/>
      <c r="AA22" s="205"/>
      <c r="AB22" s="205"/>
      <c r="AC22" s="205"/>
      <c r="AD22" s="205"/>
      <c r="AE22" s="205"/>
      <c r="AF22" s="204"/>
      <c r="AG22" s="205"/>
      <c r="AH22" s="205"/>
      <c r="AI22" s="205"/>
      <c r="AJ22" s="205">
        <v>4</v>
      </c>
      <c r="AK22" s="205"/>
      <c r="AL22" s="205"/>
      <c r="AM22" s="206"/>
      <c r="AN22" s="205">
        <f t="shared" si="0"/>
        <v>4</v>
      </c>
    </row>
    <row r="23" spans="1:40" ht="34.5" x14ac:dyDescent="0.35">
      <c r="A23" s="203" t="s">
        <v>2825</v>
      </c>
      <c r="B23" s="203" t="s">
        <v>53</v>
      </c>
      <c r="C23" s="203" t="s">
        <v>8</v>
      </c>
      <c r="D23" s="203">
        <v>0</v>
      </c>
      <c r="E23" s="203" t="s">
        <v>1860</v>
      </c>
      <c r="F23" s="228"/>
      <c r="G23" s="231"/>
      <c r="H23" s="234"/>
      <c r="I23" s="205" t="s">
        <v>12</v>
      </c>
      <c r="J23" s="205" t="s">
        <v>12</v>
      </c>
      <c r="K23" s="204"/>
      <c r="L23" s="205"/>
      <c r="M23" s="205"/>
      <c r="N23" s="205"/>
      <c r="O23" s="205"/>
      <c r="P23" s="205"/>
      <c r="Q23" s="205"/>
      <c r="R23" s="205"/>
      <c r="S23" s="205"/>
      <c r="T23" s="205"/>
      <c r="U23" s="205"/>
      <c r="V23" s="205"/>
      <c r="W23" s="206"/>
      <c r="X23" s="205"/>
      <c r="Y23" s="205"/>
      <c r="Z23" s="205"/>
      <c r="AA23" s="205"/>
      <c r="AB23" s="205"/>
      <c r="AC23" s="205"/>
      <c r="AD23" s="205"/>
      <c r="AE23" s="205"/>
      <c r="AF23" s="204"/>
      <c r="AG23" s="205">
        <v>1</v>
      </c>
      <c r="AH23" s="205"/>
      <c r="AI23" s="205"/>
      <c r="AJ23" s="205"/>
      <c r="AK23" s="205"/>
      <c r="AL23" s="205"/>
      <c r="AM23" s="206"/>
      <c r="AN23" s="205">
        <f t="shared" si="0"/>
        <v>1</v>
      </c>
    </row>
    <row r="24" spans="1:40" ht="23" x14ac:dyDescent="0.35">
      <c r="A24" s="203" t="s">
        <v>2825</v>
      </c>
      <c r="B24" s="203" t="s">
        <v>122</v>
      </c>
      <c r="C24" s="203" t="s">
        <v>8</v>
      </c>
      <c r="D24" s="203">
        <v>300</v>
      </c>
      <c r="E24" s="203" t="s">
        <v>123</v>
      </c>
      <c r="F24" s="228"/>
      <c r="G24" s="231">
        <v>1</v>
      </c>
      <c r="H24" s="234">
        <v>2</v>
      </c>
      <c r="I24" s="205"/>
      <c r="J24" s="205"/>
      <c r="K24" s="204" t="s">
        <v>12</v>
      </c>
      <c r="L24" s="205"/>
      <c r="M24" s="205"/>
      <c r="N24" s="205" t="s">
        <v>12</v>
      </c>
      <c r="O24" s="205"/>
      <c r="P24" s="205"/>
      <c r="Q24" s="205"/>
      <c r="R24" s="205"/>
      <c r="S24" s="205"/>
      <c r="T24" s="205"/>
      <c r="U24" s="205"/>
      <c r="V24" s="205"/>
      <c r="W24" s="206"/>
      <c r="X24" s="205"/>
      <c r="Y24" s="205"/>
      <c r="Z24" s="205"/>
      <c r="AA24" s="205"/>
      <c r="AB24" s="205"/>
      <c r="AC24" s="205"/>
      <c r="AD24" s="205"/>
      <c r="AE24" s="205"/>
      <c r="AF24" s="204"/>
      <c r="AG24" s="205"/>
      <c r="AH24" s="205">
        <v>1</v>
      </c>
      <c r="AI24" s="205"/>
      <c r="AJ24" s="205"/>
      <c r="AK24" s="205"/>
      <c r="AL24" s="205"/>
      <c r="AM24" s="206"/>
      <c r="AN24" s="205">
        <f t="shared" si="0"/>
        <v>1</v>
      </c>
    </row>
    <row r="25" spans="1:40" ht="23" x14ac:dyDescent="0.35">
      <c r="A25" s="203" t="s">
        <v>2825</v>
      </c>
      <c r="B25" s="203" t="s">
        <v>13</v>
      </c>
      <c r="C25" s="203" t="s">
        <v>8</v>
      </c>
      <c r="D25" s="203">
        <v>200</v>
      </c>
      <c r="E25" s="203" t="s">
        <v>14</v>
      </c>
      <c r="F25" s="228"/>
      <c r="G25" s="231">
        <v>1</v>
      </c>
      <c r="H25" s="234"/>
      <c r="I25" s="205"/>
      <c r="J25" s="205"/>
      <c r="K25" s="204"/>
      <c r="L25" s="205"/>
      <c r="M25" s="205"/>
      <c r="N25" s="205"/>
      <c r="O25" s="205"/>
      <c r="P25" s="205"/>
      <c r="Q25" s="205"/>
      <c r="R25" s="205"/>
      <c r="S25" s="205" t="s">
        <v>12</v>
      </c>
      <c r="T25" s="205"/>
      <c r="U25" s="205"/>
      <c r="V25" s="205"/>
      <c r="W25" s="206"/>
      <c r="X25" s="205"/>
      <c r="Y25" s="205"/>
      <c r="Z25" s="205"/>
      <c r="AA25" s="205"/>
      <c r="AB25" s="205"/>
      <c r="AC25" s="205"/>
      <c r="AD25" s="205"/>
      <c r="AE25" s="205"/>
      <c r="AF25" s="204">
        <v>3</v>
      </c>
      <c r="AG25" s="205"/>
      <c r="AH25" s="205"/>
      <c r="AI25" s="205"/>
      <c r="AJ25" s="205"/>
      <c r="AK25" s="205"/>
      <c r="AL25" s="205"/>
      <c r="AM25" s="206"/>
      <c r="AN25" s="205">
        <f t="shared" si="0"/>
        <v>3</v>
      </c>
    </row>
    <row r="26" spans="1:40" ht="23" x14ac:dyDescent="0.35">
      <c r="A26" s="203" t="s">
        <v>2825</v>
      </c>
      <c r="B26" s="203" t="s">
        <v>13</v>
      </c>
      <c r="C26" s="203" t="s">
        <v>8</v>
      </c>
      <c r="D26" s="203">
        <v>200</v>
      </c>
      <c r="E26" s="203" t="s">
        <v>45</v>
      </c>
      <c r="F26" s="228"/>
      <c r="G26" s="231">
        <v>1</v>
      </c>
      <c r="H26" s="234"/>
      <c r="I26" s="205"/>
      <c r="J26" s="205"/>
      <c r="K26" s="204"/>
      <c r="L26" s="205"/>
      <c r="M26" s="205"/>
      <c r="N26" s="205"/>
      <c r="O26" s="205"/>
      <c r="P26" s="205" t="s">
        <v>12</v>
      </c>
      <c r="Q26" s="205"/>
      <c r="R26" s="205"/>
      <c r="S26" s="205"/>
      <c r="T26" s="205"/>
      <c r="U26" s="205"/>
      <c r="V26" s="205"/>
      <c r="W26" s="206"/>
      <c r="X26" s="205"/>
      <c r="Y26" s="205"/>
      <c r="Z26" s="205"/>
      <c r="AA26" s="205"/>
      <c r="AB26" s="205"/>
      <c r="AC26" s="205"/>
      <c r="AD26" s="205"/>
      <c r="AE26" s="205"/>
      <c r="AF26" s="204"/>
      <c r="AG26" s="205">
        <v>3</v>
      </c>
      <c r="AH26" s="205"/>
      <c r="AI26" s="205"/>
      <c r="AJ26" s="205"/>
      <c r="AK26" s="205"/>
      <c r="AL26" s="205"/>
      <c r="AM26" s="206"/>
      <c r="AN26" s="205">
        <f t="shared" si="0"/>
        <v>3</v>
      </c>
    </row>
    <row r="27" spans="1:40" ht="23" x14ac:dyDescent="0.35">
      <c r="A27" s="203" t="s">
        <v>2825</v>
      </c>
      <c r="B27" s="203" t="s">
        <v>54</v>
      </c>
      <c r="C27" s="203" t="s">
        <v>8</v>
      </c>
      <c r="D27" s="203">
        <v>0</v>
      </c>
      <c r="E27" s="203" t="s">
        <v>60</v>
      </c>
      <c r="F27" s="228">
        <v>1</v>
      </c>
      <c r="G27" s="231"/>
      <c r="H27" s="234">
        <v>1</v>
      </c>
      <c r="I27" s="205" t="s">
        <v>12</v>
      </c>
      <c r="J27" s="205"/>
      <c r="K27" s="204"/>
      <c r="L27" s="205"/>
      <c r="M27" s="205"/>
      <c r="N27" s="205"/>
      <c r="O27" s="205"/>
      <c r="P27" s="205"/>
      <c r="Q27" s="205"/>
      <c r="R27" s="205"/>
      <c r="S27" s="205"/>
      <c r="T27" s="205" t="s">
        <v>12</v>
      </c>
      <c r="U27" s="205"/>
      <c r="V27" s="205"/>
      <c r="W27" s="206"/>
      <c r="X27" s="205" t="s">
        <v>12</v>
      </c>
      <c r="Y27" s="205"/>
      <c r="Z27" s="205"/>
      <c r="AA27" s="205"/>
      <c r="AB27" s="205"/>
      <c r="AC27" s="205"/>
      <c r="AD27" s="205"/>
      <c r="AE27" s="205"/>
      <c r="AF27" s="204"/>
      <c r="AG27" s="205">
        <v>1</v>
      </c>
      <c r="AH27" s="205"/>
      <c r="AI27" s="205"/>
      <c r="AJ27" s="205"/>
      <c r="AK27" s="205"/>
      <c r="AL27" s="205"/>
      <c r="AM27" s="206"/>
      <c r="AN27" s="205">
        <f t="shared" si="0"/>
        <v>1</v>
      </c>
    </row>
    <row r="28" spans="1:40" ht="23" x14ac:dyDescent="0.35">
      <c r="A28" s="203" t="s">
        <v>2825</v>
      </c>
      <c r="B28" s="203" t="s">
        <v>55</v>
      </c>
      <c r="C28" s="203" t="s">
        <v>8</v>
      </c>
      <c r="D28" s="203">
        <v>200</v>
      </c>
      <c r="E28" s="203" t="s">
        <v>61</v>
      </c>
      <c r="F28" s="228"/>
      <c r="G28" s="231">
        <v>2</v>
      </c>
      <c r="H28" s="234"/>
      <c r="I28" s="205" t="s">
        <v>12</v>
      </c>
      <c r="J28" s="205" t="s">
        <v>12</v>
      </c>
      <c r="K28" s="204"/>
      <c r="L28" s="205"/>
      <c r="M28" s="205"/>
      <c r="N28" s="205"/>
      <c r="O28" s="205"/>
      <c r="P28" s="205"/>
      <c r="Q28" s="205" t="s">
        <v>12</v>
      </c>
      <c r="R28" s="205"/>
      <c r="S28" s="205"/>
      <c r="T28" s="205"/>
      <c r="U28" s="205"/>
      <c r="V28" s="205"/>
      <c r="W28" s="206"/>
      <c r="X28" s="205"/>
      <c r="Y28" s="205" t="s">
        <v>12</v>
      </c>
      <c r="Z28" s="205"/>
      <c r="AA28" s="205"/>
      <c r="AB28" s="205"/>
      <c r="AC28" s="205"/>
      <c r="AD28" s="205"/>
      <c r="AE28" s="205"/>
      <c r="AF28" s="204"/>
      <c r="AG28" s="205">
        <v>1</v>
      </c>
      <c r="AH28" s="205"/>
      <c r="AI28" s="205"/>
      <c r="AJ28" s="205"/>
      <c r="AK28" s="205"/>
      <c r="AL28" s="205"/>
      <c r="AM28" s="206"/>
      <c r="AN28" s="205">
        <f t="shared" si="0"/>
        <v>1</v>
      </c>
    </row>
    <row r="29" spans="1:40" ht="23" x14ac:dyDescent="0.35">
      <c r="A29" s="203" t="s">
        <v>2825</v>
      </c>
      <c r="B29" s="203" t="s">
        <v>129</v>
      </c>
      <c r="C29" s="203" t="s">
        <v>8</v>
      </c>
      <c r="D29" s="203">
        <v>200</v>
      </c>
      <c r="E29" s="203" t="s">
        <v>1886</v>
      </c>
      <c r="F29" s="228">
        <v>1</v>
      </c>
      <c r="G29" s="231"/>
      <c r="H29" s="234"/>
      <c r="I29" s="205"/>
      <c r="J29" s="205"/>
      <c r="K29" s="204"/>
      <c r="L29" s="205"/>
      <c r="M29" s="205"/>
      <c r="N29" s="205"/>
      <c r="O29" s="205"/>
      <c r="P29" s="205"/>
      <c r="Q29" s="205"/>
      <c r="R29" s="205"/>
      <c r="S29" s="205"/>
      <c r="T29" s="205" t="s">
        <v>12</v>
      </c>
      <c r="U29" s="205"/>
      <c r="V29" s="205"/>
      <c r="W29" s="206"/>
      <c r="X29" s="205"/>
      <c r="Y29" s="205"/>
      <c r="Z29" s="205"/>
      <c r="AA29" s="205"/>
      <c r="AB29" s="205"/>
      <c r="AC29" s="205"/>
      <c r="AD29" s="205"/>
      <c r="AE29" s="205"/>
      <c r="AF29" s="204"/>
      <c r="AG29" s="205"/>
      <c r="AH29" s="205">
        <v>1</v>
      </c>
      <c r="AI29" s="205"/>
      <c r="AJ29" s="205"/>
      <c r="AK29" s="205"/>
      <c r="AL29" s="205"/>
      <c r="AM29" s="206"/>
      <c r="AN29" s="205">
        <f t="shared" si="0"/>
        <v>1</v>
      </c>
    </row>
    <row r="30" spans="1:40" ht="23" x14ac:dyDescent="0.35">
      <c r="A30" s="203" t="s">
        <v>2825</v>
      </c>
      <c r="B30" s="203" t="s">
        <v>125</v>
      </c>
      <c r="C30" s="203" t="s">
        <v>8</v>
      </c>
      <c r="D30" s="203">
        <v>100</v>
      </c>
      <c r="E30" s="203" t="s">
        <v>1885</v>
      </c>
      <c r="F30" s="228">
        <v>1</v>
      </c>
      <c r="G30" s="231"/>
      <c r="H30" s="234"/>
      <c r="I30" s="205" t="s">
        <v>12</v>
      </c>
      <c r="J30" s="205"/>
      <c r="K30" s="204"/>
      <c r="L30" s="205"/>
      <c r="M30" s="205"/>
      <c r="N30" s="205"/>
      <c r="O30" s="205" t="s">
        <v>12</v>
      </c>
      <c r="P30" s="205"/>
      <c r="Q30" s="205"/>
      <c r="R30" s="205"/>
      <c r="S30" s="205"/>
      <c r="T30" s="205"/>
      <c r="U30" s="205"/>
      <c r="V30" s="205"/>
      <c r="W30" s="206"/>
      <c r="X30" s="205"/>
      <c r="Y30" s="205"/>
      <c r="Z30" s="205"/>
      <c r="AA30" s="205"/>
      <c r="AB30" s="205"/>
      <c r="AC30" s="205"/>
      <c r="AD30" s="205"/>
      <c r="AE30" s="205"/>
      <c r="AF30" s="204"/>
      <c r="AG30" s="205"/>
      <c r="AH30" s="205">
        <v>1</v>
      </c>
      <c r="AI30" s="205"/>
      <c r="AJ30" s="205"/>
      <c r="AK30" s="205"/>
      <c r="AL30" s="205"/>
      <c r="AM30" s="206"/>
      <c r="AN30" s="205">
        <f t="shared" si="0"/>
        <v>1</v>
      </c>
    </row>
    <row r="31" spans="1:40" ht="23" x14ac:dyDescent="0.35">
      <c r="A31" s="203" t="s">
        <v>2825</v>
      </c>
      <c r="B31" s="203" t="s">
        <v>120</v>
      </c>
      <c r="C31" s="203" t="s">
        <v>8</v>
      </c>
      <c r="D31" s="203">
        <v>300</v>
      </c>
      <c r="E31" s="203" t="s">
        <v>1881</v>
      </c>
      <c r="F31" s="228">
        <v>2</v>
      </c>
      <c r="G31" s="231"/>
      <c r="H31" s="234"/>
      <c r="I31" s="205"/>
      <c r="J31" s="205" t="s">
        <v>12</v>
      </c>
      <c r="K31" s="204"/>
      <c r="L31" s="205"/>
      <c r="M31" s="205" t="s">
        <v>12</v>
      </c>
      <c r="N31" s="205"/>
      <c r="O31" s="205"/>
      <c r="P31" s="205"/>
      <c r="Q31" s="205"/>
      <c r="R31" s="205"/>
      <c r="S31" s="205"/>
      <c r="T31" s="205"/>
      <c r="U31" s="205"/>
      <c r="V31" s="205"/>
      <c r="W31" s="206"/>
      <c r="X31" s="205"/>
      <c r="Y31" s="205"/>
      <c r="Z31" s="205"/>
      <c r="AA31" s="205"/>
      <c r="AB31" s="205"/>
      <c r="AC31" s="205"/>
      <c r="AD31" s="205"/>
      <c r="AE31" s="205"/>
      <c r="AF31" s="204"/>
      <c r="AG31" s="205"/>
      <c r="AH31" s="205">
        <v>1</v>
      </c>
      <c r="AI31" s="205"/>
      <c r="AJ31" s="205"/>
      <c r="AK31" s="205"/>
      <c r="AL31" s="205"/>
      <c r="AM31" s="206"/>
      <c r="AN31" s="205">
        <f t="shared" si="0"/>
        <v>1</v>
      </c>
    </row>
    <row r="32" spans="1:40" ht="23" x14ac:dyDescent="0.35">
      <c r="A32" s="203" t="s">
        <v>2825</v>
      </c>
      <c r="B32" s="203" t="s">
        <v>126</v>
      </c>
      <c r="C32" s="203" t="s">
        <v>8</v>
      </c>
      <c r="D32" s="203">
        <v>200</v>
      </c>
      <c r="E32" s="203" t="s">
        <v>1885</v>
      </c>
      <c r="F32" s="228">
        <v>1</v>
      </c>
      <c r="G32" s="231"/>
      <c r="H32" s="234">
        <v>1</v>
      </c>
      <c r="I32" s="205" t="s">
        <v>12</v>
      </c>
      <c r="J32" s="205"/>
      <c r="K32" s="204"/>
      <c r="L32" s="205"/>
      <c r="M32" s="205"/>
      <c r="N32" s="205"/>
      <c r="O32" s="205" t="s">
        <v>12</v>
      </c>
      <c r="P32" s="205"/>
      <c r="Q32" s="205"/>
      <c r="R32" s="205"/>
      <c r="S32" s="205"/>
      <c r="T32" s="205"/>
      <c r="U32" s="205"/>
      <c r="V32" s="205"/>
      <c r="W32" s="206"/>
      <c r="X32" s="205"/>
      <c r="Y32" s="205"/>
      <c r="Z32" s="205"/>
      <c r="AA32" s="205"/>
      <c r="AB32" s="205"/>
      <c r="AC32" s="205"/>
      <c r="AD32" s="205"/>
      <c r="AE32" s="205"/>
      <c r="AF32" s="204"/>
      <c r="AG32" s="205"/>
      <c r="AH32" s="205">
        <v>1</v>
      </c>
      <c r="AI32" s="205"/>
      <c r="AJ32" s="205"/>
      <c r="AK32" s="205"/>
      <c r="AL32" s="205"/>
      <c r="AM32" s="206"/>
      <c r="AN32" s="205">
        <f t="shared" si="0"/>
        <v>1</v>
      </c>
    </row>
    <row r="33" spans="1:40" ht="23" x14ac:dyDescent="0.35">
      <c r="A33" s="203" t="s">
        <v>2825</v>
      </c>
      <c r="B33" s="203" t="s">
        <v>18</v>
      </c>
      <c r="C33" s="203" t="s">
        <v>8</v>
      </c>
      <c r="D33" s="203">
        <v>100</v>
      </c>
      <c r="E33" s="203" t="s">
        <v>23</v>
      </c>
      <c r="F33" s="228">
        <v>1</v>
      </c>
      <c r="G33" s="231"/>
      <c r="H33" s="234">
        <v>1</v>
      </c>
      <c r="I33" s="205"/>
      <c r="J33" s="205" t="s">
        <v>12</v>
      </c>
      <c r="K33" s="204"/>
      <c r="L33" s="205"/>
      <c r="M33" s="205"/>
      <c r="N33" s="205" t="s">
        <v>12</v>
      </c>
      <c r="O33" s="205"/>
      <c r="P33" s="205"/>
      <c r="Q33" s="205"/>
      <c r="R33" s="205"/>
      <c r="S33" s="205"/>
      <c r="T33" s="205"/>
      <c r="U33" s="205"/>
      <c r="V33" s="205"/>
      <c r="W33" s="206"/>
      <c r="X33" s="205"/>
      <c r="Y33" s="205"/>
      <c r="Z33" s="205"/>
      <c r="AA33" s="205"/>
      <c r="AB33" s="205"/>
      <c r="AC33" s="205"/>
      <c r="AD33" s="205"/>
      <c r="AE33" s="205"/>
      <c r="AF33" s="204">
        <v>1</v>
      </c>
      <c r="AG33" s="205"/>
      <c r="AH33" s="205"/>
      <c r="AI33" s="205"/>
      <c r="AJ33" s="205"/>
      <c r="AK33" s="205"/>
      <c r="AL33" s="205"/>
      <c r="AM33" s="206"/>
      <c r="AN33" s="205">
        <f t="shared" si="0"/>
        <v>1</v>
      </c>
    </row>
    <row r="34" spans="1:40" ht="23" x14ac:dyDescent="0.35">
      <c r="A34" s="203" t="s">
        <v>2825</v>
      </c>
      <c r="B34" s="203" t="s">
        <v>102</v>
      </c>
      <c r="C34" s="203" t="s">
        <v>8</v>
      </c>
      <c r="D34" s="203">
        <v>200</v>
      </c>
      <c r="E34" s="203" t="s">
        <v>103</v>
      </c>
      <c r="F34" s="228">
        <v>1</v>
      </c>
      <c r="G34" s="231"/>
      <c r="H34" s="234"/>
      <c r="I34" s="205"/>
      <c r="J34" s="205" t="s">
        <v>12</v>
      </c>
      <c r="K34" s="204"/>
      <c r="L34" s="205"/>
      <c r="M34" s="205" t="s">
        <v>12</v>
      </c>
      <c r="N34" s="205"/>
      <c r="O34" s="205"/>
      <c r="P34" s="205"/>
      <c r="Q34" s="205"/>
      <c r="R34" s="205"/>
      <c r="S34" s="205"/>
      <c r="T34" s="205"/>
      <c r="U34" s="205"/>
      <c r="V34" s="205"/>
      <c r="W34" s="206"/>
      <c r="X34" s="205"/>
      <c r="Y34" s="205"/>
      <c r="Z34" s="205"/>
      <c r="AA34" s="205"/>
      <c r="AB34" s="205"/>
      <c r="AC34" s="205"/>
      <c r="AD34" s="205"/>
      <c r="AE34" s="205"/>
      <c r="AF34" s="204"/>
      <c r="AG34" s="205"/>
      <c r="AH34" s="205"/>
      <c r="AI34" s="205">
        <v>1</v>
      </c>
      <c r="AJ34" s="205"/>
      <c r="AK34" s="205"/>
      <c r="AL34" s="205"/>
      <c r="AM34" s="206"/>
      <c r="AN34" s="205">
        <f t="shared" si="0"/>
        <v>1</v>
      </c>
    </row>
    <row r="35" spans="1:40" ht="23" x14ac:dyDescent="0.35">
      <c r="A35" s="203" t="s">
        <v>2825</v>
      </c>
      <c r="B35" s="203" t="s">
        <v>20</v>
      </c>
      <c r="C35" s="203" t="s">
        <v>8</v>
      </c>
      <c r="D35" s="203">
        <v>200</v>
      </c>
      <c r="E35" s="203" t="s">
        <v>25</v>
      </c>
      <c r="F35" s="228"/>
      <c r="G35" s="231">
        <v>1</v>
      </c>
      <c r="H35" s="234">
        <v>1</v>
      </c>
      <c r="I35" s="205" t="s">
        <v>12</v>
      </c>
      <c r="J35" s="205"/>
      <c r="K35" s="204"/>
      <c r="L35" s="205"/>
      <c r="M35" s="205"/>
      <c r="N35" s="205"/>
      <c r="O35" s="205"/>
      <c r="P35" s="205"/>
      <c r="Q35" s="205"/>
      <c r="R35" s="205"/>
      <c r="S35" s="205" t="s">
        <v>12</v>
      </c>
      <c r="T35" s="205"/>
      <c r="U35" s="205"/>
      <c r="V35" s="205"/>
      <c r="W35" s="206"/>
      <c r="X35" s="205"/>
      <c r="Y35" s="205"/>
      <c r="Z35" s="205"/>
      <c r="AA35" s="205"/>
      <c r="AB35" s="205"/>
      <c r="AC35" s="205"/>
      <c r="AD35" s="205"/>
      <c r="AE35" s="205"/>
      <c r="AF35" s="204">
        <v>1</v>
      </c>
      <c r="AG35" s="205"/>
      <c r="AH35" s="205"/>
      <c r="AI35" s="205"/>
      <c r="AJ35" s="205"/>
      <c r="AK35" s="205"/>
      <c r="AL35" s="205"/>
      <c r="AM35" s="206"/>
      <c r="AN35" s="205">
        <f t="shared" si="0"/>
        <v>1</v>
      </c>
    </row>
    <row r="36" spans="1:40" ht="23" x14ac:dyDescent="0.35">
      <c r="A36" s="203" t="s">
        <v>2825</v>
      </c>
      <c r="B36" s="203" t="s">
        <v>73</v>
      </c>
      <c r="C36" s="203" t="s">
        <v>8</v>
      </c>
      <c r="D36" s="203">
        <v>300</v>
      </c>
      <c r="E36" s="203" t="s">
        <v>74</v>
      </c>
      <c r="F36" s="228"/>
      <c r="G36" s="231">
        <v>1</v>
      </c>
      <c r="H36" s="234">
        <v>2</v>
      </c>
      <c r="I36" s="205"/>
      <c r="J36" s="205"/>
      <c r="K36" s="204" t="s">
        <v>12</v>
      </c>
      <c r="L36" s="205"/>
      <c r="M36" s="205"/>
      <c r="N36" s="205" t="s">
        <v>12</v>
      </c>
      <c r="O36" s="205"/>
      <c r="P36" s="205"/>
      <c r="Q36" s="205"/>
      <c r="R36" s="205"/>
      <c r="S36" s="205"/>
      <c r="T36" s="205"/>
      <c r="U36" s="205"/>
      <c r="V36" s="205"/>
      <c r="W36" s="206"/>
      <c r="X36" s="205"/>
      <c r="Y36" s="205"/>
      <c r="Z36" s="205"/>
      <c r="AA36" s="205"/>
      <c r="AB36" s="205"/>
      <c r="AC36" s="205"/>
      <c r="AD36" s="205"/>
      <c r="AE36" s="205"/>
      <c r="AF36" s="204"/>
      <c r="AG36" s="205"/>
      <c r="AH36" s="205"/>
      <c r="AI36" s="205"/>
      <c r="AJ36" s="205">
        <v>1</v>
      </c>
      <c r="AK36" s="205"/>
      <c r="AL36" s="205"/>
      <c r="AM36" s="206"/>
      <c r="AN36" s="205">
        <f t="shared" si="0"/>
        <v>1</v>
      </c>
    </row>
    <row r="37" spans="1:40" ht="23" x14ac:dyDescent="0.35">
      <c r="A37" s="203" t="s">
        <v>2825</v>
      </c>
      <c r="B37" s="203" t="s">
        <v>121</v>
      </c>
      <c r="C37" s="203" t="s">
        <v>8</v>
      </c>
      <c r="D37" s="203">
        <v>300</v>
      </c>
      <c r="E37" s="203" t="s">
        <v>1883</v>
      </c>
      <c r="F37" s="228">
        <v>2</v>
      </c>
      <c r="G37" s="231"/>
      <c r="H37" s="234"/>
      <c r="I37" s="205" t="s">
        <v>12</v>
      </c>
      <c r="J37" s="205" t="s">
        <v>12</v>
      </c>
      <c r="K37" s="204"/>
      <c r="L37" s="205"/>
      <c r="M37" s="205"/>
      <c r="N37" s="205"/>
      <c r="O37" s="205"/>
      <c r="P37" s="205"/>
      <c r="Q37" s="205"/>
      <c r="R37" s="205"/>
      <c r="S37" s="205"/>
      <c r="T37" s="205" t="s">
        <v>12</v>
      </c>
      <c r="U37" s="205"/>
      <c r="V37" s="205"/>
      <c r="W37" s="206"/>
      <c r="X37" s="205"/>
      <c r="Y37" s="205"/>
      <c r="Z37" s="205"/>
      <c r="AA37" s="205"/>
      <c r="AB37" s="205"/>
      <c r="AC37" s="205"/>
      <c r="AD37" s="205"/>
      <c r="AE37" s="205"/>
      <c r="AF37" s="204"/>
      <c r="AG37" s="205"/>
      <c r="AH37" s="205">
        <v>1</v>
      </c>
      <c r="AI37" s="205"/>
      <c r="AJ37" s="205"/>
      <c r="AK37" s="205"/>
      <c r="AL37" s="205"/>
      <c r="AM37" s="206"/>
      <c r="AN37" s="205">
        <f t="shared" si="0"/>
        <v>1</v>
      </c>
    </row>
    <row r="38" spans="1:40" ht="23" x14ac:dyDescent="0.35">
      <c r="A38" s="203" t="s">
        <v>2825</v>
      </c>
      <c r="B38" s="203" t="s">
        <v>88</v>
      </c>
      <c r="C38" s="203" t="s">
        <v>736</v>
      </c>
      <c r="D38" s="203">
        <v>2400</v>
      </c>
      <c r="E38" s="203" t="s">
        <v>90</v>
      </c>
      <c r="F38" s="228"/>
      <c r="G38" s="231"/>
      <c r="H38" s="234"/>
      <c r="I38" s="205"/>
      <c r="J38" s="205"/>
      <c r="K38" s="204"/>
      <c r="L38" s="205"/>
      <c r="M38" s="205"/>
      <c r="N38" s="205"/>
      <c r="O38" s="205"/>
      <c r="P38" s="205"/>
      <c r="Q38" s="205"/>
      <c r="R38" s="205"/>
      <c r="S38" s="205"/>
      <c r="T38" s="205"/>
      <c r="U38" s="205"/>
      <c r="V38" s="205"/>
      <c r="W38" s="206"/>
      <c r="X38" s="205"/>
      <c r="Y38" s="205"/>
      <c r="Z38" s="205"/>
      <c r="AA38" s="205"/>
      <c r="AB38" s="205"/>
      <c r="AC38" s="205"/>
      <c r="AD38" s="205"/>
      <c r="AE38" s="205"/>
      <c r="AF38" s="204"/>
      <c r="AG38" s="205"/>
      <c r="AH38" s="205"/>
      <c r="AI38" s="205"/>
      <c r="AJ38" s="205">
        <v>1</v>
      </c>
      <c r="AK38" s="205"/>
      <c r="AL38" s="205"/>
      <c r="AM38" s="206"/>
      <c r="AN38" s="205">
        <f t="shared" si="0"/>
        <v>1</v>
      </c>
    </row>
    <row r="39" spans="1:40" ht="23" x14ac:dyDescent="0.35">
      <c r="A39" s="203" t="s">
        <v>2825</v>
      </c>
      <c r="B39" s="203" t="s">
        <v>91</v>
      </c>
      <c r="C39" s="203" t="s">
        <v>736</v>
      </c>
      <c r="D39" s="203">
        <v>800</v>
      </c>
      <c r="E39" s="203" t="s">
        <v>565</v>
      </c>
      <c r="F39" s="228"/>
      <c r="G39" s="231"/>
      <c r="H39" s="234"/>
      <c r="I39" s="205"/>
      <c r="J39" s="205"/>
      <c r="K39" s="204"/>
      <c r="L39" s="205"/>
      <c r="M39" s="205"/>
      <c r="N39" s="205"/>
      <c r="O39" s="205"/>
      <c r="P39" s="205"/>
      <c r="Q39" s="205"/>
      <c r="R39" s="205"/>
      <c r="S39" s="205"/>
      <c r="T39" s="205"/>
      <c r="U39" s="205"/>
      <c r="V39" s="205"/>
      <c r="W39" s="206"/>
      <c r="X39" s="205"/>
      <c r="Y39" s="205"/>
      <c r="Z39" s="205"/>
      <c r="AA39" s="205"/>
      <c r="AB39" s="205"/>
      <c r="AC39" s="205"/>
      <c r="AD39" s="205"/>
      <c r="AE39" s="205"/>
      <c r="AF39" s="204"/>
      <c r="AG39" s="205"/>
      <c r="AH39" s="205"/>
      <c r="AI39" s="205"/>
      <c r="AJ39" s="205">
        <v>2</v>
      </c>
      <c r="AK39" s="205"/>
      <c r="AL39" s="205"/>
      <c r="AM39" s="206"/>
      <c r="AN39" s="205">
        <f t="shared" si="0"/>
        <v>2</v>
      </c>
    </row>
    <row r="40" spans="1:40" ht="23" x14ac:dyDescent="0.35">
      <c r="A40" s="203" t="s">
        <v>2825</v>
      </c>
      <c r="B40" s="203" t="s">
        <v>87</v>
      </c>
      <c r="C40" s="203" t="s">
        <v>736</v>
      </c>
      <c r="D40" s="203">
        <v>1200</v>
      </c>
      <c r="E40" s="203" t="s">
        <v>89</v>
      </c>
      <c r="F40" s="228"/>
      <c r="G40" s="231"/>
      <c r="H40" s="234"/>
      <c r="I40" s="205"/>
      <c r="J40" s="205"/>
      <c r="K40" s="204"/>
      <c r="L40" s="205"/>
      <c r="M40" s="205"/>
      <c r="N40" s="205"/>
      <c r="O40" s="205"/>
      <c r="P40" s="205"/>
      <c r="Q40" s="205"/>
      <c r="R40" s="205"/>
      <c r="S40" s="205"/>
      <c r="T40" s="205"/>
      <c r="U40" s="205"/>
      <c r="V40" s="205"/>
      <c r="W40" s="206"/>
      <c r="X40" s="205"/>
      <c r="Y40" s="205"/>
      <c r="Z40" s="205"/>
      <c r="AA40" s="205"/>
      <c r="AB40" s="205"/>
      <c r="AC40" s="205"/>
      <c r="AD40" s="205"/>
      <c r="AE40" s="205"/>
      <c r="AF40" s="204"/>
      <c r="AG40" s="205"/>
      <c r="AH40" s="205"/>
      <c r="AI40" s="205"/>
      <c r="AJ40" s="205">
        <v>2</v>
      </c>
      <c r="AK40" s="205"/>
      <c r="AL40" s="205"/>
      <c r="AM40" s="206"/>
      <c r="AN40" s="205">
        <f t="shared" si="0"/>
        <v>2</v>
      </c>
    </row>
    <row r="41" spans="1:40" ht="23" x14ac:dyDescent="0.35">
      <c r="A41" s="203" t="s">
        <v>2825</v>
      </c>
      <c r="B41" s="203" t="s">
        <v>2371</v>
      </c>
      <c r="C41" s="203" t="s">
        <v>736</v>
      </c>
      <c r="D41" s="203"/>
      <c r="E41" s="203" t="s">
        <v>2701</v>
      </c>
      <c r="F41" s="228"/>
      <c r="G41" s="231"/>
      <c r="H41" s="234"/>
      <c r="I41" s="205"/>
      <c r="J41" s="205"/>
      <c r="K41" s="204"/>
      <c r="L41" s="205"/>
      <c r="M41" s="205"/>
      <c r="N41" s="205"/>
      <c r="O41" s="205"/>
      <c r="P41" s="205"/>
      <c r="Q41" s="205"/>
      <c r="R41" s="205"/>
      <c r="S41" s="205"/>
      <c r="T41" s="205"/>
      <c r="U41" s="205"/>
      <c r="V41" s="205"/>
      <c r="W41" s="206"/>
      <c r="X41" s="205"/>
      <c r="Y41" s="205"/>
      <c r="Z41" s="205"/>
      <c r="AA41" s="205"/>
      <c r="AB41" s="205"/>
      <c r="AC41" s="205"/>
      <c r="AD41" s="205"/>
      <c r="AE41" s="205"/>
      <c r="AF41" s="204"/>
      <c r="AG41" s="205"/>
      <c r="AH41" s="205"/>
      <c r="AI41" s="205"/>
      <c r="AJ41" s="205"/>
      <c r="AK41" s="205"/>
      <c r="AL41" s="205"/>
      <c r="AM41" s="206">
        <v>4</v>
      </c>
      <c r="AN41" s="205">
        <f t="shared" si="0"/>
        <v>4</v>
      </c>
    </row>
    <row r="42" spans="1:40" ht="23" x14ac:dyDescent="0.35">
      <c r="A42" s="203" t="s">
        <v>2825</v>
      </c>
      <c r="B42" s="203" t="s">
        <v>26</v>
      </c>
      <c r="C42" s="203" t="s">
        <v>131</v>
      </c>
      <c r="D42" s="203">
        <v>1000</v>
      </c>
      <c r="E42" s="203"/>
      <c r="F42" s="228"/>
      <c r="G42" s="231"/>
      <c r="H42" s="234">
        <v>1</v>
      </c>
      <c r="I42" s="205"/>
      <c r="J42" s="205"/>
      <c r="K42" s="204"/>
      <c r="L42" s="205"/>
      <c r="M42" s="205"/>
      <c r="N42" s="205"/>
      <c r="O42" s="205"/>
      <c r="P42" s="205"/>
      <c r="Q42" s="205"/>
      <c r="R42" s="205"/>
      <c r="S42" s="205"/>
      <c r="T42" s="205"/>
      <c r="U42" s="205"/>
      <c r="V42" s="205"/>
      <c r="W42" s="206"/>
      <c r="X42" s="205" t="s">
        <v>12</v>
      </c>
      <c r="Y42" s="205"/>
      <c r="Z42" s="205"/>
      <c r="AA42" s="205"/>
      <c r="AB42" s="205"/>
      <c r="AC42" s="205"/>
      <c r="AD42" s="205"/>
      <c r="AE42" s="205"/>
      <c r="AF42" s="204">
        <v>1</v>
      </c>
      <c r="AG42" s="205">
        <v>1</v>
      </c>
      <c r="AH42" s="205"/>
      <c r="AI42" s="205"/>
      <c r="AJ42" s="205">
        <v>1</v>
      </c>
      <c r="AK42" s="205"/>
      <c r="AL42" s="205"/>
      <c r="AM42" s="206"/>
      <c r="AN42" s="205">
        <f t="shared" si="0"/>
        <v>3</v>
      </c>
    </row>
    <row r="43" spans="1:40" ht="23" x14ac:dyDescent="0.35">
      <c r="A43" s="203" t="s">
        <v>2825</v>
      </c>
      <c r="B43" s="203" t="s">
        <v>117</v>
      </c>
      <c r="C43" s="203" t="s">
        <v>131</v>
      </c>
      <c r="D43" s="203">
        <v>1600</v>
      </c>
      <c r="E43" s="203"/>
      <c r="F43" s="228">
        <v>2</v>
      </c>
      <c r="G43" s="231"/>
      <c r="H43" s="234">
        <v>1</v>
      </c>
      <c r="I43" s="205"/>
      <c r="J43" s="205"/>
      <c r="K43" s="204"/>
      <c r="L43" s="205"/>
      <c r="M43" s="205"/>
      <c r="N43" s="205"/>
      <c r="O43" s="205"/>
      <c r="P43" s="205"/>
      <c r="Q43" s="205"/>
      <c r="R43" s="205"/>
      <c r="S43" s="205"/>
      <c r="T43" s="205"/>
      <c r="U43" s="205"/>
      <c r="V43" s="205"/>
      <c r="W43" s="206"/>
      <c r="X43" s="205"/>
      <c r="Y43" s="205"/>
      <c r="Z43" s="205"/>
      <c r="AA43" s="205"/>
      <c r="AB43" s="205"/>
      <c r="AC43" s="205" t="s">
        <v>12</v>
      </c>
      <c r="AD43" s="205" t="s">
        <v>12</v>
      </c>
      <c r="AE43" s="205"/>
      <c r="AF43" s="204"/>
      <c r="AG43" s="205"/>
      <c r="AH43" s="205">
        <v>1</v>
      </c>
      <c r="AI43" s="205"/>
      <c r="AJ43" s="205"/>
      <c r="AK43" s="205"/>
      <c r="AL43" s="205"/>
      <c r="AM43" s="206"/>
      <c r="AN43" s="205">
        <f t="shared" si="0"/>
        <v>1</v>
      </c>
    </row>
    <row r="44" spans="1:40" ht="23" x14ac:dyDescent="0.35">
      <c r="A44" s="203" t="s">
        <v>2825</v>
      </c>
      <c r="B44" s="203" t="s">
        <v>35</v>
      </c>
      <c r="C44" s="203" t="s">
        <v>131</v>
      </c>
      <c r="D44" s="203">
        <v>1000</v>
      </c>
      <c r="E44" s="203" t="s">
        <v>46</v>
      </c>
      <c r="F44" s="228"/>
      <c r="G44" s="231"/>
      <c r="H44" s="234"/>
      <c r="I44" s="205"/>
      <c r="J44" s="205"/>
      <c r="K44" s="204"/>
      <c r="L44" s="205"/>
      <c r="M44" s="205"/>
      <c r="N44" s="205"/>
      <c r="O44" s="205"/>
      <c r="P44" s="205"/>
      <c r="Q44" s="205"/>
      <c r="R44" s="205"/>
      <c r="S44" s="205"/>
      <c r="T44" s="205"/>
      <c r="U44" s="205"/>
      <c r="V44" s="205"/>
      <c r="W44" s="206"/>
      <c r="X44" s="205"/>
      <c r="Y44" s="205"/>
      <c r="Z44" s="205"/>
      <c r="AA44" s="205" t="s">
        <v>12</v>
      </c>
      <c r="AB44" s="205"/>
      <c r="AC44" s="205"/>
      <c r="AD44" s="205"/>
      <c r="AE44" s="205"/>
      <c r="AF44" s="204">
        <v>1</v>
      </c>
      <c r="AG44" s="205">
        <v>2</v>
      </c>
      <c r="AH44" s="205"/>
      <c r="AI44" s="205"/>
      <c r="AJ44" s="205"/>
      <c r="AK44" s="205"/>
      <c r="AL44" s="205"/>
      <c r="AM44" s="206"/>
      <c r="AN44" s="205">
        <f t="shared" si="0"/>
        <v>3</v>
      </c>
    </row>
    <row r="45" spans="1:40" ht="23" x14ac:dyDescent="0.35">
      <c r="A45" s="203" t="s">
        <v>2825</v>
      </c>
      <c r="B45" s="203" t="s">
        <v>62</v>
      </c>
      <c r="C45" s="203" t="s">
        <v>131</v>
      </c>
      <c r="D45" s="203">
        <v>1000</v>
      </c>
      <c r="E45" s="203" t="s">
        <v>64</v>
      </c>
      <c r="F45" s="228"/>
      <c r="G45" s="231"/>
      <c r="H45" s="234">
        <v>1</v>
      </c>
      <c r="I45" s="205"/>
      <c r="J45" s="205"/>
      <c r="K45" s="204"/>
      <c r="L45" s="205"/>
      <c r="M45" s="205"/>
      <c r="N45" s="205"/>
      <c r="O45" s="205"/>
      <c r="P45" s="205"/>
      <c r="Q45" s="205"/>
      <c r="R45" s="205"/>
      <c r="S45" s="205"/>
      <c r="T45" s="205"/>
      <c r="U45" s="205"/>
      <c r="V45" s="205"/>
      <c r="W45" s="206"/>
      <c r="X45" s="205"/>
      <c r="Y45" s="205" t="s">
        <v>12</v>
      </c>
      <c r="Z45" s="205"/>
      <c r="AA45" s="205"/>
      <c r="AB45" s="205"/>
      <c r="AC45" s="205"/>
      <c r="AD45" s="205"/>
      <c r="AE45" s="205"/>
      <c r="AF45" s="204"/>
      <c r="AG45" s="205">
        <v>1</v>
      </c>
      <c r="AH45" s="205"/>
      <c r="AI45" s="205"/>
      <c r="AJ45" s="205"/>
      <c r="AK45" s="205"/>
      <c r="AL45" s="205"/>
      <c r="AM45" s="206"/>
      <c r="AN45" s="205">
        <f t="shared" si="0"/>
        <v>1</v>
      </c>
    </row>
    <row r="46" spans="1:40" ht="23" x14ac:dyDescent="0.35">
      <c r="A46" s="203" t="s">
        <v>2825</v>
      </c>
      <c r="B46" s="203" t="s">
        <v>76</v>
      </c>
      <c r="C46" s="203" t="s">
        <v>131</v>
      </c>
      <c r="D46" s="203">
        <v>1600</v>
      </c>
      <c r="E46" s="203" t="s">
        <v>78</v>
      </c>
      <c r="F46" s="228"/>
      <c r="G46" s="231"/>
      <c r="H46" s="234">
        <v>2</v>
      </c>
      <c r="I46" s="205"/>
      <c r="J46" s="205"/>
      <c r="K46" s="204"/>
      <c r="L46" s="205"/>
      <c r="M46" s="205"/>
      <c r="N46" s="205"/>
      <c r="O46" s="205"/>
      <c r="P46" s="205"/>
      <c r="Q46" s="205"/>
      <c r="R46" s="205"/>
      <c r="S46" s="205"/>
      <c r="T46" s="205"/>
      <c r="U46" s="205"/>
      <c r="V46" s="205"/>
      <c r="W46" s="206"/>
      <c r="X46" s="205" t="s">
        <v>12</v>
      </c>
      <c r="Y46" s="205"/>
      <c r="Z46" s="205"/>
      <c r="AA46" s="205"/>
      <c r="AB46" s="205"/>
      <c r="AC46" s="205"/>
      <c r="AD46" s="205"/>
      <c r="AE46" s="205"/>
      <c r="AF46" s="204"/>
      <c r="AG46" s="205"/>
      <c r="AH46" s="205"/>
      <c r="AI46" s="205"/>
      <c r="AJ46" s="205">
        <v>1</v>
      </c>
      <c r="AK46" s="205"/>
      <c r="AL46" s="205"/>
      <c r="AM46" s="206"/>
      <c r="AN46" s="205">
        <f t="shared" si="0"/>
        <v>1</v>
      </c>
    </row>
    <row r="47" spans="1:40" ht="23" x14ac:dyDescent="0.35">
      <c r="A47" s="203" t="s">
        <v>2825</v>
      </c>
      <c r="B47" s="203" t="s">
        <v>1364</v>
      </c>
      <c r="C47" s="203" t="s">
        <v>131</v>
      </c>
      <c r="D47" s="203">
        <v>1600</v>
      </c>
      <c r="E47" s="203"/>
      <c r="F47" s="228">
        <v>2</v>
      </c>
      <c r="G47" s="231"/>
      <c r="H47" s="234"/>
      <c r="I47" s="205"/>
      <c r="J47" s="205"/>
      <c r="K47" s="204"/>
      <c r="L47" s="205"/>
      <c r="M47" s="205"/>
      <c r="N47" s="205"/>
      <c r="O47" s="205"/>
      <c r="P47" s="205"/>
      <c r="Q47" s="205"/>
      <c r="R47" s="205"/>
      <c r="S47" s="205"/>
      <c r="T47" s="205"/>
      <c r="U47" s="205"/>
      <c r="V47" s="205"/>
      <c r="W47" s="206"/>
      <c r="X47" s="205"/>
      <c r="Y47" s="205"/>
      <c r="Z47" s="205"/>
      <c r="AA47" s="205" t="s">
        <v>12</v>
      </c>
      <c r="AB47" s="205"/>
      <c r="AC47" s="205" t="s">
        <v>12</v>
      </c>
      <c r="AD47" s="205"/>
      <c r="AE47" s="205"/>
      <c r="AF47" s="204"/>
      <c r="AG47" s="205"/>
      <c r="AH47" s="205">
        <v>1</v>
      </c>
      <c r="AI47" s="205"/>
      <c r="AJ47" s="205"/>
      <c r="AK47" s="205"/>
      <c r="AL47" s="205"/>
      <c r="AM47" s="206"/>
      <c r="AN47" s="205">
        <f t="shared" si="0"/>
        <v>1</v>
      </c>
    </row>
    <row r="48" spans="1:40" ht="23" x14ac:dyDescent="0.35">
      <c r="A48" s="203" t="s">
        <v>2825</v>
      </c>
      <c r="B48" s="203" t="s">
        <v>116</v>
      </c>
      <c r="C48" s="203" t="s">
        <v>131</v>
      </c>
      <c r="D48" s="203">
        <v>1800</v>
      </c>
      <c r="E48" s="203" t="s">
        <v>1830</v>
      </c>
      <c r="F48" s="228">
        <v>3</v>
      </c>
      <c r="G48" s="231"/>
      <c r="H48" s="234"/>
      <c r="I48" s="205"/>
      <c r="J48" s="205"/>
      <c r="K48" s="204"/>
      <c r="L48" s="205"/>
      <c r="M48" s="205"/>
      <c r="N48" s="205"/>
      <c r="O48" s="205"/>
      <c r="P48" s="205"/>
      <c r="Q48" s="205"/>
      <c r="R48" s="205"/>
      <c r="S48" s="205"/>
      <c r="T48" s="205"/>
      <c r="U48" s="205"/>
      <c r="V48" s="205"/>
      <c r="W48" s="206"/>
      <c r="X48" s="205"/>
      <c r="Y48" s="205"/>
      <c r="Z48" s="205"/>
      <c r="AA48" s="205"/>
      <c r="AB48" s="205"/>
      <c r="AC48" s="205" t="s">
        <v>12</v>
      </c>
      <c r="AD48" s="205"/>
      <c r="AE48" s="205" t="s">
        <v>12</v>
      </c>
      <c r="AF48" s="204"/>
      <c r="AG48" s="205"/>
      <c r="AH48" s="205">
        <v>1</v>
      </c>
      <c r="AI48" s="205"/>
      <c r="AJ48" s="205"/>
      <c r="AK48" s="205"/>
      <c r="AL48" s="205"/>
      <c r="AM48" s="206"/>
      <c r="AN48" s="205">
        <f t="shared" si="0"/>
        <v>1</v>
      </c>
    </row>
    <row r="49" spans="1:40" ht="23" x14ac:dyDescent="0.35">
      <c r="A49" s="203" t="s">
        <v>2825</v>
      </c>
      <c r="B49" s="203" t="s">
        <v>106</v>
      </c>
      <c r="C49" s="203" t="s">
        <v>131</v>
      </c>
      <c r="D49" s="203">
        <v>200</v>
      </c>
      <c r="E49" s="203"/>
      <c r="F49" s="228" t="s">
        <v>107</v>
      </c>
      <c r="G49" s="231"/>
      <c r="H49" s="234"/>
      <c r="I49" s="205"/>
      <c r="J49" s="205"/>
      <c r="K49" s="204"/>
      <c r="L49" s="205"/>
      <c r="M49" s="205"/>
      <c r="N49" s="205"/>
      <c r="O49" s="205"/>
      <c r="P49" s="205"/>
      <c r="Q49" s="205"/>
      <c r="R49" s="205"/>
      <c r="S49" s="205"/>
      <c r="T49" s="205"/>
      <c r="U49" s="205"/>
      <c r="V49" s="205"/>
      <c r="W49" s="206"/>
      <c r="X49" s="205"/>
      <c r="Y49" s="205"/>
      <c r="Z49" s="205"/>
      <c r="AA49" s="205"/>
      <c r="AB49" s="205"/>
      <c r="AC49" s="205"/>
      <c r="AD49" s="205"/>
      <c r="AE49" s="205"/>
      <c r="AF49" s="204"/>
      <c r="AG49" s="205"/>
      <c r="AH49" s="205"/>
      <c r="AI49" s="205">
        <v>1</v>
      </c>
      <c r="AJ49" s="205"/>
      <c r="AK49" s="205"/>
      <c r="AL49" s="205"/>
      <c r="AM49" s="206"/>
      <c r="AN49" s="205">
        <f t="shared" si="0"/>
        <v>1</v>
      </c>
    </row>
    <row r="50" spans="1:40" ht="23" x14ac:dyDescent="0.35">
      <c r="A50" s="203" t="s">
        <v>2825</v>
      </c>
      <c r="B50" s="203" t="s">
        <v>40</v>
      </c>
      <c r="C50" s="203" t="s">
        <v>131</v>
      </c>
      <c r="D50" s="203">
        <v>400</v>
      </c>
      <c r="E50" s="203"/>
      <c r="F50" s="228" t="s">
        <v>38</v>
      </c>
      <c r="G50" s="231"/>
      <c r="H50" s="234"/>
      <c r="I50" s="205"/>
      <c r="J50" s="205"/>
      <c r="K50" s="204"/>
      <c r="L50" s="205"/>
      <c r="M50" s="205"/>
      <c r="N50" s="205"/>
      <c r="O50" s="205"/>
      <c r="P50" s="205"/>
      <c r="Q50" s="205"/>
      <c r="R50" s="205"/>
      <c r="S50" s="205"/>
      <c r="T50" s="205"/>
      <c r="U50" s="205"/>
      <c r="V50" s="205"/>
      <c r="W50" s="206"/>
      <c r="X50" s="205"/>
      <c r="Y50" s="205"/>
      <c r="Z50" s="205"/>
      <c r="AA50" s="205"/>
      <c r="AB50" s="205"/>
      <c r="AC50" s="205"/>
      <c r="AD50" s="205"/>
      <c r="AE50" s="205" t="s">
        <v>37</v>
      </c>
      <c r="AF50" s="204">
        <v>1</v>
      </c>
      <c r="AG50" s="205">
        <v>1</v>
      </c>
      <c r="AH50" s="205">
        <v>2</v>
      </c>
      <c r="AI50" s="205"/>
      <c r="AJ50" s="205"/>
      <c r="AK50" s="205"/>
      <c r="AL50" s="205"/>
      <c r="AM50" s="206"/>
      <c r="AN50" s="205">
        <f t="shared" si="0"/>
        <v>4</v>
      </c>
    </row>
    <row r="51" spans="1:40" ht="23" x14ac:dyDescent="0.35">
      <c r="A51" s="203" t="s">
        <v>2825</v>
      </c>
      <c r="B51" s="203" t="s">
        <v>108</v>
      </c>
      <c r="C51" s="203" t="s">
        <v>131</v>
      </c>
      <c r="D51" s="203">
        <v>200</v>
      </c>
      <c r="E51" s="203"/>
      <c r="F51" s="228"/>
      <c r="G51" s="231"/>
      <c r="H51" s="234"/>
      <c r="I51" s="205"/>
      <c r="J51" s="205"/>
      <c r="K51" s="204"/>
      <c r="L51" s="205"/>
      <c r="M51" s="205"/>
      <c r="N51" s="205"/>
      <c r="O51" s="205"/>
      <c r="P51" s="205"/>
      <c r="Q51" s="205"/>
      <c r="R51" s="205"/>
      <c r="S51" s="205"/>
      <c r="T51" s="205"/>
      <c r="U51" s="205"/>
      <c r="V51" s="205"/>
      <c r="W51" s="206"/>
      <c r="X51" s="205"/>
      <c r="Y51" s="205"/>
      <c r="Z51" s="205"/>
      <c r="AA51" s="205" t="s">
        <v>37</v>
      </c>
      <c r="AB51" s="205"/>
      <c r="AC51" s="205"/>
      <c r="AD51" s="205"/>
      <c r="AE51" s="205"/>
      <c r="AF51" s="204"/>
      <c r="AG51" s="205"/>
      <c r="AH51" s="205">
        <v>2</v>
      </c>
      <c r="AI51" s="205">
        <v>2</v>
      </c>
      <c r="AJ51" s="205"/>
      <c r="AK51" s="205"/>
      <c r="AL51" s="205"/>
      <c r="AM51" s="206"/>
      <c r="AN51" s="205">
        <f t="shared" si="0"/>
        <v>4</v>
      </c>
    </row>
    <row r="52" spans="1:40" ht="23" x14ac:dyDescent="0.35">
      <c r="A52" s="203" t="s">
        <v>2825</v>
      </c>
      <c r="B52" s="203" t="s">
        <v>115</v>
      </c>
      <c r="C52" s="203" t="s">
        <v>131</v>
      </c>
      <c r="D52" s="203">
        <v>1000</v>
      </c>
      <c r="E52" s="203"/>
      <c r="F52" s="228">
        <v>2</v>
      </c>
      <c r="G52" s="231"/>
      <c r="H52" s="234"/>
      <c r="I52" s="205"/>
      <c r="J52" s="205"/>
      <c r="K52" s="204"/>
      <c r="L52" s="205"/>
      <c r="M52" s="205"/>
      <c r="N52" s="205"/>
      <c r="O52" s="205"/>
      <c r="P52" s="205"/>
      <c r="Q52" s="205"/>
      <c r="R52" s="205"/>
      <c r="S52" s="205"/>
      <c r="T52" s="205"/>
      <c r="U52" s="205"/>
      <c r="V52" s="205"/>
      <c r="W52" s="206"/>
      <c r="X52" s="205"/>
      <c r="Y52" s="205"/>
      <c r="Z52" s="205"/>
      <c r="AA52" s="205"/>
      <c r="AB52" s="205"/>
      <c r="AC52" s="205"/>
      <c r="AD52" s="205"/>
      <c r="AE52" s="205" t="s">
        <v>12</v>
      </c>
      <c r="AF52" s="204"/>
      <c r="AG52" s="205"/>
      <c r="AH52" s="205">
        <v>2</v>
      </c>
      <c r="AI52" s="205"/>
      <c r="AJ52" s="205"/>
      <c r="AK52" s="205"/>
      <c r="AL52" s="205"/>
      <c r="AM52" s="206"/>
      <c r="AN52" s="205">
        <f t="shared" si="0"/>
        <v>2</v>
      </c>
    </row>
    <row r="53" spans="1:40" ht="23" x14ac:dyDescent="0.35">
      <c r="A53" s="203" t="s">
        <v>2825</v>
      </c>
      <c r="B53" s="203" t="s">
        <v>105</v>
      </c>
      <c r="C53" s="203" t="s">
        <v>131</v>
      </c>
      <c r="D53" s="203">
        <v>800</v>
      </c>
      <c r="E53" s="203"/>
      <c r="F53" s="228">
        <v>1</v>
      </c>
      <c r="G53" s="231"/>
      <c r="H53" s="234"/>
      <c r="I53" s="205"/>
      <c r="J53" s="205"/>
      <c r="K53" s="204"/>
      <c r="L53" s="205"/>
      <c r="M53" s="205"/>
      <c r="N53" s="205"/>
      <c r="O53" s="205"/>
      <c r="P53" s="205"/>
      <c r="Q53" s="205"/>
      <c r="R53" s="205"/>
      <c r="S53" s="205"/>
      <c r="T53" s="205"/>
      <c r="U53" s="205"/>
      <c r="V53" s="205"/>
      <c r="W53" s="206"/>
      <c r="X53" s="205"/>
      <c r="Y53" s="205"/>
      <c r="Z53" s="205"/>
      <c r="AA53" s="205"/>
      <c r="AB53" s="205"/>
      <c r="AC53" s="205" t="s">
        <v>12</v>
      </c>
      <c r="AD53" s="205" t="s">
        <v>12</v>
      </c>
      <c r="AE53" s="205"/>
      <c r="AF53" s="204"/>
      <c r="AG53" s="205"/>
      <c r="AH53" s="205">
        <v>2</v>
      </c>
      <c r="AI53" s="205">
        <v>1</v>
      </c>
      <c r="AJ53" s="205"/>
      <c r="AK53" s="205"/>
      <c r="AL53" s="205"/>
      <c r="AM53" s="206"/>
      <c r="AN53" s="205">
        <f t="shared" si="0"/>
        <v>3</v>
      </c>
    </row>
    <row r="54" spans="1:40" ht="23" x14ac:dyDescent="0.35">
      <c r="A54" s="203" t="s">
        <v>2825</v>
      </c>
      <c r="B54" s="203" t="s">
        <v>36</v>
      </c>
      <c r="C54" s="203" t="s">
        <v>131</v>
      </c>
      <c r="D54" s="203">
        <v>400</v>
      </c>
      <c r="E54" s="203"/>
      <c r="F54" s="228"/>
      <c r="G54" s="231"/>
      <c r="H54" s="234" t="s">
        <v>38</v>
      </c>
      <c r="I54" s="205"/>
      <c r="J54" s="205"/>
      <c r="K54" s="204"/>
      <c r="L54" s="205"/>
      <c r="M54" s="205"/>
      <c r="N54" s="205"/>
      <c r="O54" s="205"/>
      <c r="P54" s="205"/>
      <c r="Q54" s="205"/>
      <c r="R54" s="205"/>
      <c r="S54" s="205"/>
      <c r="T54" s="205"/>
      <c r="U54" s="205"/>
      <c r="V54" s="205"/>
      <c r="W54" s="206"/>
      <c r="X54" s="205" t="s">
        <v>37</v>
      </c>
      <c r="Y54" s="205"/>
      <c r="Z54" s="205"/>
      <c r="AA54" s="205"/>
      <c r="AB54" s="205"/>
      <c r="AC54" s="205"/>
      <c r="AD54" s="205"/>
      <c r="AE54" s="205"/>
      <c r="AF54" s="204">
        <v>1</v>
      </c>
      <c r="AG54" s="205">
        <v>1</v>
      </c>
      <c r="AH54" s="205"/>
      <c r="AI54" s="205"/>
      <c r="AJ54" s="205"/>
      <c r="AK54" s="205"/>
      <c r="AL54" s="205"/>
      <c r="AM54" s="206"/>
      <c r="AN54" s="205">
        <f t="shared" si="0"/>
        <v>2</v>
      </c>
    </row>
    <row r="55" spans="1:40" ht="23" x14ac:dyDescent="0.35">
      <c r="A55" s="203" t="s">
        <v>2825</v>
      </c>
      <c r="B55" s="203" t="s">
        <v>1363</v>
      </c>
      <c r="C55" s="203" t="s">
        <v>131</v>
      </c>
      <c r="D55" s="203">
        <v>400</v>
      </c>
      <c r="E55" s="203"/>
      <c r="F55" s="228"/>
      <c r="G55" s="231" t="s">
        <v>38</v>
      </c>
      <c r="H55" s="234"/>
      <c r="I55" s="205"/>
      <c r="J55" s="205"/>
      <c r="K55" s="204"/>
      <c r="L55" s="205"/>
      <c r="M55" s="205"/>
      <c r="N55" s="205"/>
      <c r="O55" s="205"/>
      <c r="P55" s="205"/>
      <c r="Q55" s="205"/>
      <c r="R55" s="205"/>
      <c r="S55" s="205"/>
      <c r="T55" s="205"/>
      <c r="U55" s="205"/>
      <c r="V55" s="205"/>
      <c r="W55" s="206"/>
      <c r="X55" s="205"/>
      <c r="Y55" s="205"/>
      <c r="Z55" s="205" t="s">
        <v>37</v>
      </c>
      <c r="AA55" s="205"/>
      <c r="AB55" s="205"/>
      <c r="AC55" s="205"/>
      <c r="AD55" s="205"/>
      <c r="AE55" s="205"/>
      <c r="AF55" s="204">
        <v>1</v>
      </c>
      <c r="AG55" s="205">
        <v>1</v>
      </c>
      <c r="AH55" s="205"/>
      <c r="AI55" s="205"/>
      <c r="AJ55" s="205"/>
      <c r="AK55" s="205"/>
      <c r="AL55" s="205"/>
      <c r="AM55" s="206"/>
      <c r="AN55" s="205">
        <f t="shared" si="0"/>
        <v>2</v>
      </c>
    </row>
    <row r="56" spans="1:40" ht="23" x14ac:dyDescent="0.35">
      <c r="A56" s="203" t="s">
        <v>2825</v>
      </c>
      <c r="B56" s="203" t="s">
        <v>1890</v>
      </c>
      <c r="C56" s="203" t="s">
        <v>131</v>
      </c>
      <c r="D56" s="203">
        <v>0</v>
      </c>
      <c r="E56" s="203" t="s">
        <v>43</v>
      </c>
      <c r="F56" s="228"/>
      <c r="G56" s="231"/>
      <c r="H56" s="234"/>
      <c r="I56" s="205"/>
      <c r="J56" s="205"/>
      <c r="K56" s="204"/>
      <c r="L56" s="205"/>
      <c r="M56" s="205"/>
      <c r="N56" s="205"/>
      <c r="O56" s="205"/>
      <c r="P56" s="205"/>
      <c r="Q56" s="205"/>
      <c r="R56" s="205"/>
      <c r="S56" s="205"/>
      <c r="T56" s="205"/>
      <c r="U56" s="205"/>
      <c r="V56" s="205"/>
      <c r="W56" s="206"/>
      <c r="X56" s="205"/>
      <c r="Y56" s="205"/>
      <c r="Z56" s="205"/>
      <c r="AA56" s="205"/>
      <c r="AB56" s="205"/>
      <c r="AC56" s="205"/>
      <c r="AD56" s="205"/>
      <c r="AE56" s="205"/>
      <c r="AF56" s="204">
        <v>1</v>
      </c>
      <c r="AG56" s="205"/>
      <c r="AH56" s="205"/>
      <c r="AI56" s="205"/>
      <c r="AJ56" s="205"/>
      <c r="AK56" s="205"/>
      <c r="AL56" s="205"/>
      <c r="AM56" s="206"/>
      <c r="AN56" s="205">
        <f t="shared" si="0"/>
        <v>1</v>
      </c>
    </row>
    <row r="57" spans="1:40" ht="23" x14ac:dyDescent="0.35">
      <c r="A57" s="203" t="s">
        <v>2825</v>
      </c>
      <c r="B57" s="203" t="s">
        <v>63</v>
      </c>
      <c r="C57" s="203" t="s">
        <v>131</v>
      </c>
      <c r="D57" s="203">
        <v>1000</v>
      </c>
      <c r="E57" s="203" t="s">
        <v>65</v>
      </c>
      <c r="F57" s="228"/>
      <c r="G57" s="231"/>
      <c r="H57" s="234">
        <v>1</v>
      </c>
      <c r="I57" s="205"/>
      <c r="J57" s="205"/>
      <c r="K57" s="204"/>
      <c r="L57" s="205"/>
      <c r="M57" s="205"/>
      <c r="N57" s="205"/>
      <c r="O57" s="205"/>
      <c r="P57" s="205"/>
      <c r="Q57" s="205"/>
      <c r="R57" s="205"/>
      <c r="S57" s="205"/>
      <c r="T57" s="205"/>
      <c r="U57" s="205"/>
      <c r="V57" s="205"/>
      <c r="W57" s="206"/>
      <c r="X57" s="205"/>
      <c r="Y57" s="205" t="s">
        <v>12</v>
      </c>
      <c r="Z57" s="205"/>
      <c r="AA57" s="205"/>
      <c r="AB57" s="205"/>
      <c r="AC57" s="205"/>
      <c r="AD57" s="205"/>
      <c r="AE57" s="205"/>
      <c r="AF57" s="204"/>
      <c r="AG57" s="205">
        <v>1</v>
      </c>
      <c r="AH57" s="205"/>
      <c r="AI57" s="205"/>
      <c r="AJ57" s="205"/>
      <c r="AK57" s="205"/>
      <c r="AL57" s="205"/>
      <c r="AM57" s="206"/>
      <c r="AN57" s="205">
        <f t="shared" si="0"/>
        <v>1</v>
      </c>
    </row>
    <row r="58" spans="1:40" ht="23" x14ac:dyDescent="0.35">
      <c r="A58" s="203" t="s">
        <v>2825</v>
      </c>
      <c r="B58" s="203" t="s">
        <v>104</v>
      </c>
      <c r="C58" s="203" t="s">
        <v>131</v>
      </c>
      <c r="D58" s="203">
        <v>1000</v>
      </c>
      <c r="E58" s="203"/>
      <c r="F58" s="228"/>
      <c r="G58" s="231">
        <v>2</v>
      </c>
      <c r="H58" s="234"/>
      <c r="I58" s="205"/>
      <c r="J58" s="205"/>
      <c r="K58" s="204"/>
      <c r="L58" s="205"/>
      <c r="M58" s="205"/>
      <c r="N58" s="205"/>
      <c r="O58" s="205"/>
      <c r="P58" s="205"/>
      <c r="Q58" s="205"/>
      <c r="R58" s="205"/>
      <c r="S58" s="205"/>
      <c r="T58" s="205"/>
      <c r="U58" s="205"/>
      <c r="V58" s="205"/>
      <c r="W58" s="206"/>
      <c r="X58" s="205"/>
      <c r="Y58" s="205"/>
      <c r="Z58" s="205" t="s">
        <v>12</v>
      </c>
      <c r="AA58" s="205"/>
      <c r="AB58" s="205"/>
      <c r="AC58" s="205"/>
      <c r="AD58" s="205"/>
      <c r="AE58" s="205"/>
      <c r="AF58" s="204"/>
      <c r="AG58" s="205"/>
      <c r="AH58" s="205"/>
      <c r="AI58" s="205">
        <v>1</v>
      </c>
      <c r="AJ58" s="205"/>
      <c r="AK58" s="205"/>
      <c r="AL58" s="205"/>
      <c r="AM58" s="206"/>
      <c r="AN58" s="205">
        <f t="shared" si="0"/>
        <v>1</v>
      </c>
    </row>
    <row r="59" spans="1:40" ht="23" x14ac:dyDescent="0.35">
      <c r="A59" s="203" t="s">
        <v>2825</v>
      </c>
      <c r="B59" s="203" t="s">
        <v>39</v>
      </c>
      <c r="C59" s="203" t="s">
        <v>131</v>
      </c>
      <c r="D59" s="203">
        <v>200</v>
      </c>
      <c r="E59" s="203"/>
      <c r="F59" s="228" t="s">
        <v>38</v>
      </c>
      <c r="G59" s="231"/>
      <c r="H59" s="234"/>
      <c r="I59" s="205"/>
      <c r="J59" s="205"/>
      <c r="K59" s="204"/>
      <c r="L59" s="205"/>
      <c r="M59" s="205"/>
      <c r="N59" s="205"/>
      <c r="O59" s="205"/>
      <c r="P59" s="205"/>
      <c r="Q59" s="205"/>
      <c r="R59" s="205"/>
      <c r="S59" s="205"/>
      <c r="T59" s="205"/>
      <c r="U59" s="205"/>
      <c r="V59" s="205"/>
      <c r="W59" s="206"/>
      <c r="X59" s="205"/>
      <c r="Y59" s="205"/>
      <c r="Z59" s="205"/>
      <c r="AA59" s="205"/>
      <c r="AB59" s="205"/>
      <c r="AC59" s="205"/>
      <c r="AD59" s="205"/>
      <c r="AE59" s="205"/>
      <c r="AF59" s="204">
        <v>1</v>
      </c>
      <c r="AG59" s="205">
        <v>1</v>
      </c>
      <c r="AH59" s="205">
        <v>1</v>
      </c>
      <c r="AI59" s="205"/>
      <c r="AJ59" s="205"/>
      <c r="AK59" s="205"/>
      <c r="AL59" s="205"/>
      <c r="AM59" s="206"/>
      <c r="AN59" s="205">
        <f t="shared" si="0"/>
        <v>3</v>
      </c>
    </row>
    <row r="60" spans="1:40" ht="23" x14ac:dyDescent="0.35">
      <c r="A60" s="203" t="s">
        <v>2825</v>
      </c>
      <c r="B60" s="203" t="s">
        <v>75</v>
      </c>
      <c r="C60" s="203" t="s">
        <v>131</v>
      </c>
      <c r="D60" s="203">
        <v>1400</v>
      </c>
      <c r="E60" s="203"/>
      <c r="F60" s="228"/>
      <c r="G60" s="231"/>
      <c r="H60" s="234">
        <v>2</v>
      </c>
      <c r="I60" s="205"/>
      <c r="J60" s="205"/>
      <c r="K60" s="204"/>
      <c r="L60" s="205"/>
      <c r="M60" s="205"/>
      <c r="N60" s="205"/>
      <c r="O60" s="205"/>
      <c r="P60" s="205"/>
      <c r="Q60" s="205"/>
      <c r="R60" s="205"/>
      <c r="S60" s="205"/>
      <c r="T60" s="205"/>
      <c r="U60" s="205"/>
      <c r="V60" s="205"/>
      <c r="W60" s="206"/>
      <c r="X60" s="205"/>
      <c r="Y60" s="205"/>
      <c r="Z60" s="205"/>
      <c r="AA60" s="205" t="s">
        <v>12</v>
      </c>
      <c r="AB60" s="205"/>
      <c r="AC60" s="205"/>
      <c r="AD60" s="205"/>
      <c r="AE60" s="205"/>
      <c r="AF60" s="204"/>
      <c r="AG60" s="205"/>
      <c r="AH60" s="205"/>
      <c r="AI60" s="205"/>
      <c r="AJ60" s="205">
        <v>1</v>
      </c>
      <c r="AK60" s="205"/>
      <c r="AL60" s="205"/>
      <c r="AM60" s="206"/>
      <c r="AN60" s="205">
        <f t="shared" si="0"/>
        <v>1</v>
      </c>
    </row>
    <row r="61" spans="1:40" ht="23" x14ac:dyDescent="0.35">
      <c r="A61" s="203" t="s">
        <v>2825</v>
      </c>
      <c r="B61" s="203" t="s">
        <v>32</v>
      </c>
      <c r="C61" s="203" t="s">
        <v>131</v>
      </c>
      <c r="D61" s="203">
        <v>400</v>
      </c>
      <c r="E61" s="203"/>
      <c r="F61" s="228">
        <v>1</v>
      </c>
      <c r="G61" s="231"/>
      <c r="H61" s="234"/>
      <c r="I61" s="205"/>
      <c r="J61" s="205"/>
      <c r="K61" s="204"/>
      <c r="L61" s="205"/>
      <c r="M61" s="205"/>
      <c r="N61" s="205"/>
      <c r="O61" s="205"/>
      <c r="P61" s="205"/>
      <c r="Q61" s="205"/>
      <c r="R61" s="205"/>
      <c r="S61" s="205"/>
      <c r="T61" s="205"/>
      <c r="U61" s="205"/>
      <c r="V61" s="205"/>
      <c r="W61" s="206"/>
      <c r="X61" s="205"/>
      <c r="Y61" s="205"/>
      <c r="Z61" s="205"/>
      <c r="AA61" s="205"/>
      <c r="AB61" s="205"/>
      <c r="AC61" s="205" t="s">
        <v>12</v>
      </c>
      <c r="AD61" s="205"/>
      <c r="AE61" s="205"/>
      <c r="AF61" s="204">
        <v>1</v>
      </c>
      <c r="AG61" s="205"/>
      <c r="AH61" s="205">
        <v>2</v>
      </c>
      <c r="AI61" s="205">
        <v>2</v>
      </c>
      <c r="AJ61" s="205"/>
      <c r="AK61" s="205"/>
      <c r="AL61" s="205"/>
      <c r="AM61" s="206"/>
      <c r="AN61" s="205">
        <f t="shared" si="0"/>
        <v>5</v>
      </c>
    </row>
    <row r="62" spans="1:40" ht="23" x14ac:dyDescent="0.35">
      <c r="A62" s="203" t="s">
        <v>2825</v>
      </c>
      <c r="B62" s="203" t="s">
        <v>34</v>
      </c>
      <c r="C62" s="203" t="s">
        <v>131</v>
      </c>
      <c r="D62" s="203">
        <v>1000</v>
      </c>
      <c r="E62" s="203"/>
      <c r="F62" s="228"/>
      <c r="G62" s="231">
        <v>1</v>
      </c>
      <c r="H62" s="234"/>
      <c r="I62" s="205"/>
      <c r="J62" s="205"/>
      <c r="K62" s="204"/>
      <c r="L62" s="205"/>
      <c r="M62" s="205"/>
      <c r="N62" s="205"/>
      <c r="O62" s="205"/>
      <c r="P62" s="205"/>
      <c r="Q62" s="205"/>
      <c r="R62" s="205"/>
      <c r="S62" s="205"/>
      <c r="T62" s="205"/>
      <c r="U62" s="205"/>
      <c r="V62" s="205"/>
      <c r="W62" s="206"/>
      <c r="X62" s="205"/>
      <c r="Y62" s="205"/>
      <c r="Z62" s="205" t="s">
        <v>12</v>
      </c>
      <c r="AA62" s="205"/>
      <c r="AB62" s="205"/>
      <c r="AC62" s="205"/>
      <c r="AD62" s="205"/>
      <c r="AE62" s="205"/>
      <c r="AF62" s="204">
        <v>1</v>
      </c>
      <c r="AG62" s="205">
        <v>1</v>
      </c>
      <c r="AH62" s="205"/>
      <c r="AI62" s="205"/>
      <c r="AJ62" s="205">
        <v>1</v>
      </c>
      <c r="AK62" s="205"/>
      <c r="AL62" s="205"/>
      <c r="AM62" s="206"/>
      <c r="AN62" s="205">
        <f t="shared" si="0"/>
        <v>3</v>
      </c>
    </row>
    <row r="63" spans="1:40" ht="23" x14ac:dyDescent="0.35">
      <c r="A63" s="203" t="s">
        <v>2825</v>
      </c>
      <c r="B63" s="203" t="s">
        <v>31</v>
      </c>
      <c r="C63" s="203" t="s">
        <v>131</v>
      </c>
      <c r="D63" s="203">
        <v>800</v>
      </c>
      <c r="E63" s="203"/>
      <c r="F63" s="228"/>
      <c r="G63" s="231"/>
      <c r="H63" s="234">
        <v>1</v>
      </c>
      <c r="I63" s="205"/>
      <c r="J63" s="205"/>
      <c r="K63" s="204"/>
      <c r="L63" s="205"/>
      <c r="M63" s="205"/>
      <c r="N63" s="205"/>
      <c r="O63" s="205"/>
      <c r="P63" s="205"/>
      <c r="Q63" s="205"/>
      <c r="R63" s="205"/>
      <c r="S63" s="205"/>
      <c r="T63" s="205"/>
      <c r="U63" s="205"/>
      <c r="V63" s="205"/>
      <c r="W63" s="206"/>
      <c r="X63" s="205"/>
      <c r="Y63" s="205" t="s">
        <v>12</v>
      </c>
      <c r="Z63" s="205"/>
      <c r="AA63" s="205"/>
      <c r="AB63" s="205"/>
      <c r="AC63" s="205"/>
      <c r="AD63" s="205"/>
      <c r="AE63" s="205"/>
      <c r="AF63" s="204">
        <v>1</v>
      </c>
      <c r="AG63" s="205"/>
      <c r="AH63" s="205"/>
      <c r="AI63" s="205"/>
      <c r="AJ63" s="205"/>
      <c r="AK63" s="205"/>
      <c r="AL63" s="205"/>
      <c r="AM63" s="206"/>
      <c r="AN63" s="205">
        <f t="shared" si="0"/>
        <v>1</v>
      </c>
    </row>
    <row r="64" spans="1:40" ht="23" x14ac:dyDescent="0.35">
      <c r="A64" s="203" t="s">
        <v>2825</v>
      </c>
      <c r="B64" s="203" t="s">
        <v>77</v>
      </c>
      <c r="C64" s="203" t="s">
        <v>131</v>
      </c>
      <c r="D64" s="203">
        <v>800</v>
      </c>
      <c r="E64" s="211" t="s">
        <v>79</v>
      </c>
      <c r="F64" s="228"/>
      <c r="G64" s="231">
        <v>1</v>
      </c>
      <c r="H64" s="234"/>
      <c r="I64" s="205"/>
      <c r="J64" s="205"/>
      <c r="K64" s="204"/>
      <c r="L64" s="205"/>
      <c r="M64" s="205"/>
      <c r="N64" s="205"/>
      <c r="O64" s="205"/>
      <c r="P64" s="205"/>
      <c r="Q64" s="205"/>
      <c r="R64" s="205"/>
      <c r="S64" s="205"/>
      <c r="T64" s="205"/>
      <c r="U64" s="205"/>
      <c r="V64" s="205"/>
      <c r="W64" s="206"/>
      <c r="X64" s="205"/>
      <c r="Y64" s="205"/>
      <c r="Z64" s="205"/>
      <c r="AA64" s="205"/>
      <c r="AB64" s="205"/>
      <c r="AC64" s="205"/>
      <c r="AD64" s="205"/>
      <c r="AE64" s="205"/>
      <c r="AF64" s="204"/>
      <c r="AG64" s="205"/>
      <c r="AH64" s="205"/>
      <c r="AI64" s="205"/>
      <c r="AJ64" s="205">
        <v>1</v>
      </c>
      <c r="AK64" s="205"/>
      <c r="AL64" s="205"/>
      <c r="AM64" s="206"/>
      <c r="AN64" s="205">
        <f t="shared" si="0"/>
        <v>1</v>
      </c>
    </row>
    <row r="65" spans="1:40" ht="23" x14ac:dyDescent="0.35">
      <c r="A65" s="203" t="s">
        <v>2825</v>
      </c>
      <c r="B65" s="203" t="s">
        <v>140</v>
      </c>
      <c r="C65" s="203" t="s">
        <v>136</v>
      </c>
      <c r="D65" s="203"/>
      <c r="E65" s="203" t="s">
        <v>141</v>
      </c>
      <c r="F65" s="228">
        <v>1</v>
      </c>
      <c r="G65" s="231">
        <v>1</v>
      </c>
      <c r="H65" s="234">
        <v>1</v>
      </c>
      <c r="I65" s="205"/>
      <c r="J65" s="205"/>
      <c r="K65" s="204"/>
      <c r="L65" s="205"/>
      <c r="M65" s="205"/>
      <c r="N65" s="205"/>
      <c r="O65" s="205"/>
      <c r="P65" s="205"/>
      <c r="Q65" s="205"/>
      <c r="R65" s="205"/>
      <c r="S65" s="205"/>
      <c r="T65" s="205"/>
      <c r="U65" s="205"/>
      <c r="V65" s="205"/>
      <c r="W65" s="206"/>
      <c r="X65" s="205"/>
      <c r="Y65" s="205" t="s">
        <v>12</v>
      </c>
      <c r="Z65" s="205"/>
      <c r="AA65" s="205"/>
      <c r="AB65" s="205"/>
      <c r="AC65" s="205"/>
      <c r="AD65" s="205"/>
      <c r="AE65" s="205"/>
      <c r="AF65" s="204"/>
      <c r="AG65" s="205"/>
      <c r="AH65" s="205"/>
      <c r="AI65" s="205"/>
      <c r="AJ65" s="205"/>
      <c r="AK65" s="205"/>
      <c r="AL65" s="205"/>
      <c r="AM65" s="206">
        <v>1</v>
      </c>
      <c r="AN65" s="205">
        <f t="shared" si="0"/>
        <v>1</v>
      </c>
    </row>
    <row r="66" spans="1:40" ht="23" x14ac:dyDescent="0.35">
      <c r="A66" s="203" t="s">
        <v>2825</v>
      </c>
      <c r="B66" s="203" t="s">
        <v>144</v>
      </c>
      <c r="C66" s="203" t="s">
        <v>136</v>
      </c>
      <c r="D66" s="203"/>
      <c r="E66" s="203" t="s">
        <v>145</v>
      </c>
      <c r="F66" s="228"/>
      <c r="G66" s="231">
        <v>2</v>
      </c>
      <c r="H66" s="234">
        <v>1</v>
      </c>
      <c r="I66" s="205"/>
      <c r="J66" s="205"/>
      <c r="K66" s="204"/>
      <c r="L66" s="205"/>
      <c r="M66" s="205"/>
      <c r="N66" s="205"/>
      <c r="O66" s="205"/>
      <c r="P66" s="205" t="s">
        <v>12</v>
      </c>
      <c r="Q66" s="205"/>
      <c r="R66" s="205"/>
      <c r="S66" s="205"/>
      <c r="T66" s="205"/>
      <c r="U66" s="205"/>
      <c r="V66" s="205"/>
      <c r="W66" s="206"/>
      <c r="X66" s="205"/>
      <c r="Y66" s="205"/>
      <c r="Z66" s="205"/>
      <c r="AA66" s="205"/>
      <c r="AB66" s="205"/>
      <c r="AC66" s="205"/>
      <c r="AD66" s="205"/>
      <c r="AE66" s="205"/>
      <c r="AF66" s="204"/>
      <c r="AG66" s="205"/>
      <c r="AH66" s="205"/>
      <c r="AI66" s="205"/>
      <c r="AJ66" s="205"/>
      <c r="AK66" s="205"/>
      <c r="AL66" s="205"/>
      <c r="AM66" s="206">
        <v>1</v>
      </c>
      <c r="AN66" s="205">
        <f t="shared" ref="AN66:AN129" si="1">SUM(AF66:AM66)</f>
        <v>1</v>
      </c>
    </row>
    <row r="67" spans="1:40" ht="23" x14ac:dyDescent="0.35">
      <c r="A67" s="203" t="s">
        <v>2825</v>
      </c>
      <c r="B67" s="203" t="s">
        <v>148</v>
      </c>
      <c r="C67" s="203" t="s">
        <v>136</v>
      </c>
      <c r="D67" s="203"/>
      <c r="E67" s="203" t="s">
        <v>149</v>
      </c>
      <c r="F67" s="228">
        <v>2</v>
      </c>
      <c r="G67" s="231"/>
      <c r="H67" s="234">
        <v>1</v>
      </c>
      <c r="I67" s="205" t="s">
        <v>12</v>
      </c>
      <c r="J67" s="205"/>
      <c r="K67" s="204"/>
      <c r="L67" s="205"/>
      <c r="M67" s="205"/>
      <c r="N67" s="205"/>
      <c r="O67" s="205"/>
      <c r="P67" s="205"/>
      <c r="Q67" s="205"/>
      <c r="R67" s="205"/>
      <c r="S67" s="205" t="s">
        <v>12</v>
      </c>
      <c r="T67" s="205" t="s">
        <v>12</v>
      </c>
      <c r="U67" s="205"/>
      <c r="V67" s="205"/>
      <c r="W67" s="206"/>
      <c r="X67" s="205"/>
      <c r="Y67" s="205"/>
      <c r="Z67" s="205"/>
      <c r="AA67" s="205"/>
      <c r="AB67" s="205"/>
      <c r="AC67" s="205"/>
      <c r="AD67" s="205"/>
      <c r="AE67" s="205"/>
      <c r="AF67" s="204"/>
      <c r="AG67" s="205"/>
      <c r="AH67" s="205"/>
      <c r="AI67" s="205"/>
      <c r="AJ67" s="205"/>
      <c r="AK67" s="205"/>
      <c r="AL67" s="205"/>
      <c r="AM67" s="206">
        <v>1</v>
      </c>
      <c r="AN67" s="205">
        <f t="shared" si="1"/>
        <v>1</v>
      </c>
    </row>
    <row r="68" spans="1:40" ht="23" x14ac:dyDescent="0.35">
      <c r="A68" s="203" t="s">
        <v>2825</v>
      </c>
      <c r="B68" s="203" t="s">
        <v>138</v>
      </c>
      <c r="C68" s="203" t="s">
        <v>136</v>
      </c>
      <c r="D68" s="203"/>
      <c r="E68" s="203" t="s">
        <v>139</v>
      </c>
      <c r="F68" s="228">
        <v>2</v>
      </c>
      <c r="G68" s="231">
        <v>1</v>
      </c>
      <c r="H68" s="234"/>
      <c r="I68" s="205"/>
      <c r="J68" s="205"/>
      <c r="K68" s="204"/>
      <c r="L68" s="205"/>
      <c r="M68" s="205"/>
      <c r="N68" s="205"/>
      <c r="O68" s="205"/>
      <c r="P68" s="205"/>
      <c r="Q68" s="205"/>
      <c r="R68" s="205"/>
      <c r="S68" s="205"/>
      <c r="T68" s="205"/>
      <c r="U68" s="205"/>
      <c r="V68" s="205"/>
      <c r="W68" s="206"/>
      <c r="X68" s="205"/>
      <c r="Y68" s="205"/>
      <c r="Z68" s="205"/>
      <c r="AA68" s="205" t="s">
        <v>12</v>
      </c>
      <c r="AB68" s="205"/>
      <c r="AC68" s="205"/>
      <c r="AD68" s="205"/>
      <c r="AE68" s="205"/>
      <c r="AF68" s="204"/>
      <c r="AG68" s="205"/>
      <c r="AH68" s="205"/>
      <c r="AI68" s="205"/>
      <c r="AJ68" s="205"/>
      <c r="AK68" s="205"/>
      <c r="AL68" s="205"/>
      <c r="AM68" s="206">
        <v>1</v>
      </c>
      <c r="AN68" s="205">
        <f t="shared" si="1"/>
        <v>1</v>
      </c>
    </row>
    <row r="69" spans="1:40" ht="23" x14ac:dyDescent="0.35">
      <c r="A69" s="203" t="s">
        <v>2825</v>
      </c>
      <c r="B69" s="203" t="s">
        <v>142</v>
      </c>
      <c r="C69" s="203" t="s">
        <v>136</v>
      </c>
      <c r="D69" s="203"/>
      <c r="E69" s="203" t="s">
        <v>143</v>
      </c>
      <c r="F69" s="228">
        <v>2</v>
      </c>
      <c r="G69" s="231">
        <v>1</v>
      </c>
      <c r="H69" s="234"/>
      <c r="I69" s="205" t="s">
        <v>12</v>
      </c>
      <c r="J69" s="205"/>
      <c r="K69" s="204"/>
      <c r="L69" s="205"/>
      <c r="M69" s="205"/>
      <c r="N69" s="205"/>
      <c r="O69" s="205"/>
      <c r="P69" s="205" t="s">
        <v>12</v>
      </c>
      <c r="Q69" s="205"/>
      <c r="R69" s="205"/>
      <c r="S69" s="205"/>
      <c r="T69" s="205" t="s">
        <v>12</v>
      </c>
      <c r="U69" s="205"/>
      <c r="V69" s="205"/>
      <c r="W69" s="206"/>
      <c r="X69" s="205"/>
      <c r="Y69" s="205"/>
      <c r="Z69" s="205"/>
      <c r="AA69" s="205"/>
      <c r="AB69" s="205"/>
      <c r="AC69" s="205"/>
      <c r="AD69" s="205"/>
      <c r="AE69" s="205"/>
      <c r="AF69" s="204"/>
      <c r="AG69" s="205"/>
      <c r="AH69" s="205"/>
      <c r="AI69" s="205"/>
      <c r="AJ69" s="205"/>
      <c r="AK69" s="205"/>
      <c r="AL69" s="205"/>
      <c r="AM69" s="206">
        <v>1</v>
      </c>
      <c r="AN69" s="205">
        <f t="shared" si="1"/>
        <v>1</v>
      </c>
    </row>
    <row r="70" spans="1:40" ht="23" x14ac:dyDescent="0.35">
      <c r="A70" s="203" t="s">
        <v>2825</v>
      </c>
      <c r="B70" s="203" t="s">
        <v>146</v>
      </c>
      <c r="C70" s="203" t="s">
        <v>136</v>
      </c>
      <c r="D70" s="203"/>
      <c r="E70" s="203" t="s">
        <v>147</v>
      </c>
      <c r="F70" s="228">
        <v>1</v>
      </c>
      <c r="G70" s="231"/>
      <c r="H70" s="234">
        <v>2</v>
      </c>
      <c r="I70" s="205" t="s">
        <v>12</v>
      </c>
      <c r="J70" s="205"/>
      <c r="K70" s="204" t="s">
        <v>12</v>
      </c>
      <c r="L70" s="205"/>
      <c r="M70" s="205"/>
      <c r="N70" s="205"/>
      <c r="O70" s="205"/>
      <c r="P70" s="205"/>
      <c r="Q70" s="205"/>
      <c r="R70" s="205"/>
      <c r="S70" s="205"/>
      <c r="T70" s="205"/>
      <c r="U70" s="205"/>
      <c r="V70" s="205"/>
      <c r="W70" s="206"/>
      <c r="X70" s="205"/>
      <c r="Y70" s="205"/>
      <c r="Z70" s="205"/>
      <c r="AA70" s="205"/>
      <c r="AB70" s="205"/>
      <c r="AC70" s="205"/>
      <c r="AD70" s="205"/>
      <c r="AE70" s="205"/>
      <c r="AF70" s="204"/>
      <c r="AG70" s="205"/>
      <c r="AH70" s="205"/>
      <c r="AI70" s="205"/>
      <c r="AJ70" s="205"/>
      <c r="AK70" s="205"/>
      <c r="AL70" s="205"/>
      <c r="AM70" s="206">
        <v>1</v>
      </c>
      <c r="AN70" s="205">
        <f t="shared" si="1"/>
        <v>1</v>
      </c>
    </row>
    <row r="71" spans="1:40" ht="23" x14ac:dyDescent="0.35">
      <c r="A71" s="203" t="s">
        <v>2825</v>
      </c>
      <c r="B71" s="203" t="s">
        <v>135</v>
      </c>
      <c r="C71" s="203" t="s">
        <v>136</v>
      </c>
      <c r="D71" s="203"/>
      <c r="E71" s="203" t="s">
        <v>137</v>
      </c>
      <c r="F71" s="228">
        <v>2</v>
      </c>
      <c r="G71" s="231"/>
      <c r="H71" s="234">
        <v>1</v>
      </c>
      <c r="I71" s="205"/>
      <c r="J71" s="205"/>
      <c r="K71" s="204"/>
      <c r="L71" s="205"/>
      <c r="M71" s="205"/>
      <c r="N71" s="205"/>
      <c r="O71" s="205"/>
      <c r="P71" s="205"/>
      <c r="Q71" s="205"/>
      <c r="R71" s="205"/>
      <c r="S71" s="205"/>
      <c r="T71" s="205" t="s">
        <v>12</v>
      </c>
      <c r="U71" s="205"/>
      <c r="V71" s="205"/>
      <c r="W71" s="206"/>
      <c r="X71" s="205"/>
      <c r="Y71" s="205"/>
      <c r="Z71" s="205"/>
      <c r="AA71" s="205"/>
      <c r="AB71" s="205"/>
      <c r="AC71" s="205"/>
      <c r="AD71" s="205"/>
      <c r="AE71" s="205"/>
      <c r="AF71" s="204"/>
      <c r="AG71" s="205"/>
      <c r="AH71" s="205"/>
      <c r="AI71" s="205"/>
      <c r="AJ71" s="205"/>
      <c r="AK71" s="205"/>
      <c r="AL71" s="205"/>
      <c r="AM71" s="206">
        <v>1</v>
      </c>
      <c r="AN71" s="205">
        <f t="shared" si="1"/>
        <v>1</v>
      </c>
    </row>
    <row r="72" spans="1:40" ht="23" x14ac:dyDescent="0.35">
      <c r="A72" s="203" t="s">
        <v>2825</v>
      </c>
      <c r="B72" s="203" t="s">
        <v>1875</v>
      </c>
      <c r="C72" s="203" t="s">
        <v>5</v>
      </c>
      <c r="D72" s="203">
        <v>1000</v>
      </c>
      <c r="E72" s="203" t="s">
        <v>1876</v>
      </c>
      <c r="F72" s="228"/>
      <c r="G72" s="231"/>
      <c r="H72" s="234"/>
      <c r="I72" s="205"/>
      <c r="J72" s="205"/>
      <c r="K72" s="204"/>
      <c r="L72" s="205"/>
      <c r="M72" s="205"/>
      <c r="N72" s="205"/>
      <c r="O72" s="205"/>
      <c r="P72" s="205"/>
      <c r="Q72" s="205"/>
      <c r="R72" s="205"/>
      <c r="S72" s="205"/>
      <c r="T72" s="205"/>
      <c r="U72" s="205"/>
      <c r="V72" s="205"/>
      <c r="W72" s="206"/>
      <c r="X72" s="205"/>
      <c r="Y72" s="205"/>
      <c r="Z72" s="205"/>
      <c r="AA72" s="205"/>
      <c r="AB72" s="205"/>
      <c r="AC72" s="205"/>
      <c r="AD72" s="205"/>
      <c r="AE72" s="205"/>
      <c r="AF72" s="204"/>
      <c r="AG72" s="205"/>
      <c r="AH72" s="205"/>
      <c r="AI72" s="205">
        <v>2</v>
      </c>
      <c r="AJ72" s="205"/>
      <c r="AK72" s="205"/>
      <c r="AL72" s="205"/>
      <c r="AM72" s="206"/>
      <c r="AN72" s="205">
        <f t="shared" si="1"/>
        <v>2</v>
      </c>
    </row>
    <row r="73" spans="1:40" ht="34.5" x14ac:dyDescent="0.35">
      <c r="A73" s="203" t="s">
        <v>2825</v>
      </c>
      <c r="B73" s="203" t="s">
        <v>4</v>
      </c>
      <c r="C73" s="203" t="s">
        <v>5</v>
      </c>
      <c r="D73" s="203">
        <v>400</v>
      </c>
      <c r="E73" s="203" t="s">
        <v>1827</v>
      </c>
      <c r="F73" s="228"/>
      <c r="G73" s="231"/>
      <c r="H73" s="234"/>
      <c r="I73" s="205"/>
      <c r="J73" s="205"/>
      <c r="K73" s="204"/>
      <c r="L73" s="205"/>
      <c r="M73" s="205"/>
      <c r="N73" s="205"/>
      <c r="O73" s="205"/>
      <c r="P73" s="205"/>
      <c r="Q73" s="205"/>
      <c r="R73" s="205"/>
      <c r="S73" s="205"/>
      <c r="T73" s="205"/>
      <c r="U73" s="205"/>
      <c r="V73" s="205"/>
      <c r="W73" s="206"/>
      <c r="X73" s="205"/>
      <c r="Y73" s="205"/>
      <c r="Z73" s="205"/>
      <c r="AA73" s="205"/>
      <c r="AB73" s="205"/>
      <c r="AC73" s="205"/>
      <c r="AD73" s="205"/>
      <c r="AE73" s="205"/>
      <c r="AF73" s="204">
        <v>2</v>
      </c>
      <c r="AG73" s="205">
        <v>2</v>
      </c>
      <c r="AH73" s="205"/>
      <c r="AI73" s="205">
        <v>1</v>
      </c>
      <c r="AJ73" s="205"/>
      <c r="AK73" s="205"/>
      <c r="AL73" s="205"/>
      <c r="AM73" s="206"/>
      <c r="AN73" s="205">
        <f t="shared" si="1"/>
        <v>5</v>
      </c>
    </row>
    <row r="74" spans="1:40" ht="23" x14ac:dyDescent="0.35">
      <c r="A74" s="203" t="s">
        <v>2825</v>
      </c>
      <c r="B74" s="203" t="s">
        <v>86</v>
      </c>
      <c r="C74" s="203" t="s">
        <v>5</v>
      </c>
      <c r="D74" s="203">
        <v>600</v>
      </c>
      <c r="E74" s="211" t="s">
        <v>1415</v>
      </c>
      <c r="F74" s="228"/>
      <c r="G74" s="231"/>
      <c r="H74" s="234"/>
      <c r="I74" s="205"/>
      <c r="J74" s="205"/>
      <c r="K74" s="204"/>
      <c r="L74" s="205"/>
      <c r="M74" s="205"/>
      <c r="N74" s="205"/>
      <c r="O74" s="205"/>
      <c r="P74" s="205"/>
      <c r="Q74" s="205"/>
      <c r="R74" s="205"/>
      <c r="S74" s="205"/>
      <c r="T74" s="205"/>
      <c r="U74" s="205"/>
      <c r="V74" s="205"/>
      <c r="W74" s="206"/>
      <c r="X74" s="205"/>
      <c r="Y74" s="205"/>
      <c r="Z74" s="205"/>
      <c r="AA74" s="205"/>
      <c r="AB74" s="205"/>
      <c r="AC74" s="205"/>
      <c r="AD74" s="205"/>
      <c r="AE74" s="205"/>
      <c r="AF74" s="204"/>
      <c r="AG74" s="205"/>
      <c r="AH74" s="205"/>
      <c r="AI74" s="205"/>
      <c r="AJ74" s="205">
        <v>2</v>
      </c>
      <c r="AK74" s="205"/>
      <c r="AL74" s="205"/>
      <c r="AM74" s="206"/>
      <c r="AN74" s="205">
        <f t="shared" si="1"/>
        <v>2</v>
      </c>
    </row>
    <row r="75" spans="1:40" ht="23" x14ac:dyDescent="0.35">
      <c r="A75" s="203" t="s">
        <v>2825</v>
      </c>
      <c r="B75" s="203" t="s">
        <v>1852</v>
      </c>
      <c r="C75" s="203" t="s">
        <v>5</v>
      </c>
      <c r="D75" s="203">
        <v>600</v>
      </c>
      <c r="E75" s="203" t="s">
        <v>1853</v>
      </c>
      <c r="F75" s="228"/>
      <c r="G75" s="231"/>
      <c r="H75" s="234"/>
      <c r="I75" s="205"/>
      <c r="J75" s="205"/>
      <c r="K75" s="204"/>
      <c r="L75" s="205"/>
      <c r="M75" s="205"/>
      <c r="N75" s="205"/>
      <c r="O75" s="205"/>
      <c r="P75" s="205"/>
      <c r="Q75" s="205"/>
      <c r="R75" s="205"/>
      <c r="S75" s="205"/>
      <c r="T75" s="205"/>
      <c r="U75" s="205"/>
      <c r="V75" s="205"/>
      <c r="W75" s="206"/>
      <c r="X75" s="205"/>
      <c r="Y75" s="205"/>
      <c r="Z75" s="205"/>
      <c r="AA75" s="205"/>
      <c r="AB75" s="205"/>
      <c r="AC75" s="205"/>
      <c r="AD75" s="205"/>
      <c r="AE75" s="205"/>
      <c r="AF75" s="204"/>
      <c r="AG75" s="205"/>
      <c r="AH75" s="205"/>
      <c r="AI75" s="205"/>
      <c r="AJ75" s="205">
        <v>2</v>
      </c>
      <c r="AK75" s="205"/>
      <c r="AL75" s="205"/>
      <c r="AM75" s="206"/>
      <c r="AN75" s="205">
        <f t="shared" si="1"/>
        <v>2</v>
      </c>
    </row>
    <row r="76" spans="1:40" ht="23" x14ac:dyDescent="0.35">
      <c r="A76" s="203" t="s">
        <v>2825</v>
      </c>
      <c r="B76" s="203" t="s">
        <v>82</v>
      </c>
      <c r="C76" s="203" t="s">
        <v>5</v>
      </c>
      <c r="D76" s="203">
        <v>800</v>
      </c>
      <c r="E76" s="203" t="s">
        <v>83</v>
      </c>
      <c r="F76" s="228"/>
      <c r="G76" s="231"/>
      <c r="H76" s="234"/>
      <c r="I76" s="205"/>
      <c r="J76" s="205"/>
      <c r="K76" s="204"/>
      <c r="L76" s="205"/>
      <c r="M76" s="205"/>
      <c r="N76" s="205"/>
      <c r="O76" s="205"/>
      <c r="P76" s="205"/>
      <c r="Q76" s="205"/>
      <c r="R76" s="205"/>
      <c r="S76" s="205"/>
      <c r="T76" s="205"/>
      <c r="U76" s="205"/>
      <c r="V76" s="205"/>
      <c r="W76" s="206"/>
      <c r="X76" s="205"/>
      <c r="Y76" s="205"/>
      <c r="Z76" s="205"/>
      <c r="AA76" s="205"/>
      <c r="AB76" s="205"/>
      <c r="AC76" s="205"/>
      <c r="AD76" s="205"/>
      <c r="AE76" s="205"/>
      <c r="AF76" s="204"/>
      <c r="AG76" s="205"/>
      <c r="AH76" s="205"/>
      <c r="AI76" s="205"/>
      <c r="AJ76" s="205">
        <v>1</v>
      </c>
      <c r="AK76" s="205"/>
      <c r="AL76" s="205"/>
      <c r="AM76" s="206"/>
      <c r="AN76" s="205">
        <f t="shared" si="1"/>
        <v>1</v>
      </c>
    </row>
    <row r="77" spans="1:40" ht="23" x14ac:dyDescent="0.35">
      <c r="A77" s="203" t="s">
        <v>2825</v>
      </c>
      <c r="B77" s="203" t="s">
        <v>80</v>
      </c>
      <c r="C77" s="203" t="s">
        <v>5</v>
      </c>
      <c r="D77" s="203">
        <v>600</v>
      </c>
      <c r="E77" s="203" t="s">
        <v>81</v>
      </c>
      <c r="F77" s="228"/>
      <c r="G77" s="231"/>
      <c r="H77" s="234"/>
      <c r="I77" s="205"/>
      <c r="J77" s="205"/>
      <c r="K77" s="204"/>
      <c r="L77" s="205"/>
      <c r="M77" s="205"/>
      <c r="N77" s="205"/>
      <c r="O77" s="205"/>
      <c r="P77" s="205"/>
      <c r="Q77" s="205"/>
      <c r="R77" s="205"/>
      <c r="S77" s="205"/>
      <c r="T77" s="205"/>
      <c r="U77" s="205"/>
      <c r="V77" s="205"/>
      <c r="W77" s="206"/>
      <c r="X77" s="205"/>
      <c r="Y77" s="205"/>
      <c r="Z77" s="205"/>
      <c r="AA77" s="205"/>
      <c r="AB77" s="205"/>
      <c r="AC77" s="205"/>
      <c r="AD77" s="205"/>
      <c r="AE77" s="205"/>
      <c r="AF77" s="204"/>
      <c r="AG77" s="205"/>
      <c r="AH77" s="205"/>
      <c r="AI77" s="205"/>
      <c r="AJ77" s="205">
        <v>2</v>
      </c>
      <c r="AK77" s="205"/>
      <c r="AL77" s="205"/>
      <c r="AM77" s="206"/>
      <c r="AN77" s="205">
        <f t="shared" si="1"/>
        <v>2</v>
      </c>
    </row>
    <row r="78" spans="1:40" ht="23" x14ac:dyDescent="0.35">
      <c r="A78" s="203" t="s">
        <v>2825</v>
      </c>
      <c r="B78" s="203" t="s">
        <v>113</v>
      </c>
      <c r="C78" s="203" t="s">
        <v>5</v>
      </c>
      <c r="D78" s="203">
        <v>1600</v>
      </c>
      <c r="E78" s="203" t="s">
        <v>114</v>
      </c>
      <c r="F78" s="228"/>
      <c r="G78" s="231"/>
      <c r="H78" s="234"/>
      <c r="I78" s="205"/>
      <c r="J78" s="205"/>
      <c r="K78" s="204"/>
      <c r="L78" s="205"/>
      <c r="M78" s="205"/>
      <c r="N78" s="205"/>
      <c r="O78" s="205"/>
      <c r="P78" s="205"/>
      <c r="Q78" s="205"/>
      <c r="R78" s="205"/>
      <c r="S78" s="205"/>
      <c r="T78" s="205"/>
      <c r="U78" s="205"/>
      <c r="V78" s="205"/>
      <c r="W78" s="206"/>
      <c r="X78" s="205"/>
      <c r="Y78" s="205"/>
      <c r="Z78" s="205"/>
      <c r="AA78" s="205"/>
      <c r="AB78" s="205"/>
      <c r="AC78" s="205"/>
      <c r="AD78" s="205"/>
      <c r="AE78" s="205"/>
      <c r="AF78" s="204"/>
      <c r="AG78" s="205"/>
      <c r="AH78" s="205"/>
      <c r="AI78" s="205">
        <v>2</v>
      </c>
      <c r="AJ78" s="205"/>
      <c r="AK78" s="205"/>
      <c r="AL78" s="205"/>
      <c r="AM78" s="206"/>
      <c r="AN78" s="205">
        <f t="shared" si="1"/>
        <v>2</v>
      </c>
    </row>
    <row r="79" spans="1:40" ht="23" x14ac:dyDescent="0.35">
      <c r="A79" s="203" t="s">
        <v>2825</v>
      </c>
      <c r="B79" s="203" t="s">
        <v>109</v>
      </c>
      <c r="C79" s="203" t="s">
        <v>5</v>
      </c>
      <c r="D79" s="203">
        <v>1000</v>
      </c>
      <c r="E79" s="211" t="s">
        <v>110</v>
      </c>
      <c r="F79" s="228"/>
      <c r="G79" s="231"/>
      <c r="H79" s="234"/>
      <c r="I79" s="205"/>
      <c r="J79" s="205"/>
      <c r="K79" s="204"/>
      <c r="L79" s="205"/>
      <c r="M79" s="205"/>
      <c r="N79" s="205"/>
      <c r="O79" s="205"/>
      <c r="P79" s="205"/>
      <c r="Q79" s="205"/>
      <c r="R79" s="205"/>
      <c r="S79" s="205"/>
      <c r="T79" s="205"/>
      <c r="U79" s="205"/>
      <c r="V79" s="205"/>
      <c r="W79" s="206"/>
      <c r="X79" s="205"/>
      <c r="Y79" s="205"/>
      <c r="Z79" s="205"/>
      <c r="AA79" s="205"/>
      <c r="AB79" s="205"/>
      <c r="AC79" s="205"/>
      <c r="AD79" s="205"/>
      <c r="AE79" s="205"/>
      <c r="AF79" s="204"/>
      <c r="AG79" s="205"/>
      <c r="AH79" s="205"/>
      <c r="AI79" s="205">
        <v>1</v>
      </c>
      <c r="AJ79" s="205"/>
      <c r="AK79" s="205"/>
      <c r="AL79" s="205"/>
      <c r="AM79" s="206"/>
      <c r="AN79" s="205">
        <f t="shared" si="1"/>
        <v>1</v>
      </c>
    </row>
    <row r="80" spans="1:40" ht="23" x14ac:dyDescent="0.35">
      <c r="A80" s="203" t="s">
        <v>2825</v>
      </c>
      <c r="B80" s="203" t="s">
        <v>84</v>
      </c>
      <c r="C80" s="203" t="s">
        <v>5</v>
      </c>
      <c r="D80" s="203">
        <v>1600</v>
      </c>
      <c r="E80" s="203" t="s">
        <v>85</v>
      </c>
      <c r="F80" s="228"/>
      <c r="G80" s="231"/>
      <c r="H80" s="234"/>
      <c r="I80" s="205"/>
      <c r="J80" s="205"/>
      <c r="K80" s="204"/>
      <c r="L80" s="205"/>
      <c r="M80" s="205"/>
      <c r="N80" s="205"/>
      <c r="O80" s="205"/>
      <c r="P80" s="205"/>
      <c r="Q80" s="205"/>
      <c r="R80" s="205"/>
      <c r="S80" s="205"/>
      <c r="T80" s="205"/>
      <c r="U80" s="205"/>
      <c r="V80" s="205"/>
      <c r="W80" s="206"/>
      <c r="X80" s="205"/>
      <c r="Y80" s="205"/>
      <c r="Z80" s="205"/>
      <c r="AA80" s="205"/>
      <c r="AB80" s="205"/>
      <c r="AC80" s="205"/>
      <c r="AD80" s="205"/>
      <c r="AE80" s="205"/>
      <c r="AF80" s="204"/>
      <c r="AG80" s="205"/>
      <c r="AH80" s="205"/>
      <c r="AI80" s="205"/>
      <c r="AJ80" s="205">
        <v>1</v>
      </c>
      <c r="AK80" s="205"/>
      <c r="AL80" s="205"/>
      <c r="AM80" s="206"/>
      <c r="AN80" s="205">
        <f t="shared" si="1"/>
        <v>1</v>
      </c>
    </row>
    <row r="81" spans="1:40" ht="23" x14ac:dyDescent="0.35">
      <c r="A81" s="203" t="s">
        <v>2825</v>
      </c>
      <c r="B81" s="203" t="s">
        <v>111</v>
      </c>
      <c r="C81" s="203" t="s">
        <v>5</v>
      </c>
      <c r="D81" s="203">
        <v>600</v>
      </c>
      <c r="E81" s="203" t="s">
        <v>112</v>
      </c>
      <c r="F81" s="228"/>
      <c r="G81" s="231"/>
      <c r="H81" s="234"/>
      <c r="I81" s="205"/>
      <c r="J81" s="205"/>
      <c r="K81" s="204"/>
      <c r="L81" s="205"/>
      <c r="M81" s="205"/>
      <c r="N81" s="205"/>
      <c r="O81" s="205"/>
      <c r="P81" s="205"/>
      <c r="Q81" s="205"/>
      <c r="R81" s="205"/>
      <c r="S81" s="205"/>
      <c r="T81" s="205"/>
      <c r="U81" s="205"/>
      <c r="V81" s="205"/>
      <c r="W81" s="206"/>
      <c r="X81" s="205"/>
      <c r="Y81" s="205"/>
      <c r="Z81" s="205"/>
      <c r="AA81" s="205" t="s">
        <v>12</v>
      </c>
      <c r="AB81" s="205"/>
      <c r="AC81" s="205"/>
      <c r="AD81" s="205"/>
      <c r="AE81" s="205"/>
      <c r="AF81" s="204"/>
      <c r="AG81" s="205"/>
      <c r="AH81" s="205"/>
      <c r="AI81" s="205">
        <v>2</v>
      </c>
      <c r="AJ81" s="205"/>
      <c r="AK81" s="205"/>
      <c r="AL81" s="205"/>
      <c r="AM81" s="206"/>
      <c r="AN81" s="205">
        <f t="shared" si="1"/>
        <v>2</v>
      </c>
    </row>
    <row r="82" spans="1:40" ht="23" x14ac:dyDescent="0.35">
      <c r="A82" s="203" t="s">
        <v>2057</v>
      </c>
      <c r="B82" s="203" t="s">
        <v>586</v>
      </c>
      <c r="C82" s="203" t="s">
        <v>8</v>
      </c>
      <c r="D82" s="203">
        <v>300</v>
      </c>
      <c r="E82" s="203" t="s">
        <v>588</v>
      </c>
      <c r="F82" s="228"/>
      <c r="G82" s="231">
        <v>1</v>
      </c>
      <c r="H82" s="234">
        <v>1</v>
      </c>
      <c r="I82" s="205"/>
      <c r="J82" s="205"/>
      <c r="K82" s="204"/>
      <c r="L82" s="205"/>
      <c r="M82" s="205"/>
      <c r="N82" s="205" t="s">
        <v>12</v>
      </c>
      <c r="O82" s="205"/>
      <c r="P82" s="205"/>
      <c r="Q82" s="205"/>
      <c r="R82" s="205"/>
      <c r="S82" s="205"/>
      <c r="T82" s="205"/>
      <c r="U82" s="205"/>
      <c r="V82" s="205"/>
      <c r="W82" s="206"/>
      <c r="X82" s="205"/>
      <c r="Y82" s="205"/>
      <c r="Z82" s="205"/>
      <c r="AA82" s="205"/>
      <c r="AB82" s="205"/>
      <c r="AC82" s="205"/>
      <c r="AD82" s="205"/>
      <c r="AE82" s="205"/>
      <c r="AF82" s="204"/>
      <c r="AG82" s="205">
        <v>1</v>
      </c>
      <c r="AH82" s="205"/>
      <c r="AI82" s="205"/>
      <c r="AJ82" s="205"/>
      <c r="AK82" s="205"/>
      <c r="AL82" s="205"/>
      <c r="AM82" s="206"/>
      <c r="AN82" s="205">
        <f t="shared" si="1"/>
        <v>1</v>
      </c>
    </row>
    <row r="83" spans="1:40" ht="23" x14ac:dyDescent="0.35">
      <c r="A83" s="203" t="s">
        <v>2057</v>
      </c>
      <c r="B83" s="203" t="s">
        <v>591</v>
      </c>
      <c r="C83" s="203" t="s">
        <v>8</v>
      </c>
      <c r="D83" s="203">
        <v>0</v>
      </c>
      <c r="E83" s="203" t="s">
        <v>593</v>
      </c>
      <c r="F83" s="228"/>
      <c r="G83" s="231"/>
      <c r="H83" s="234">
        <v>2</v>
      </c>
      <c r="I83" s="205" t="s">
        <v>12</v>
      </c>
      <c r="J83" s="205"/>
      <c r="K83" s="204"/>
      <c r="L83" s="205"/>
      <c r="M83" s="205"/>
      <c r="N83" s="205"/>
      <c r="O83" s="205" t="s">
        <v>12</v>
      </c>
      <c r="P83" s="205"/>
      <c r="Q83" s="205"/>
      <c r="R83" s="205"/>
      <c r="S83" s="205"/>
      <c r="T83" s="205"/>
      <c r="U83" s="205"/>
      <c r="V83" s="205"/>
      <c r="W83" s="206"/>
      <c r="X83" s="205"/>
      <c r="Y83" s="205"/>
      <c r="Z83" s="205"/>
      <c r="AA83" s="205"/>
      <c r="AB83" s="205"/>
      <c r="AC83" s="205"/>
      <c r="AD83" s="205"/>
      <c r="AE83" s="205"/>
      <c r="AF83" s="204"/>
      <c r="AG83" s="205"/>
      <c r="AH83" s="205">
        <v>1</v>
      </c>
      <c r="AI83" s="205"/>
      <c r="AJ83" s="205"/>
      <c r="AK83" s="205"/>
      <c r="AL83" s="205"/>
      <c r="AM83" s="206"/>
      <c r="AN83" s="205">
        <f t="shared" si="1"/>
        <v>1</v>
      </c>
    </row>
    <row r="84" spans="1:40" ht="23" x14ac:dyDescent="0.35">
      <c r="A84" s="203" t="s">
        <v>2057</v>
      </c>
      <c r="B84" s="203" t="s">
        <v>592</v>
      </c>
      <c r="C84" s="203" t="s">
        <v>8</v>
      </c>
      <c r="D84" s="203">
        <v>300</v>
      </c>
      <c r="E84" s="203" t="s">
        <v>1887</v>
      </c>
      <c r="F84" s="228">
        <v>2</v>
      </c>
      <c r="G84" s="231"/>
      <c r="H84" s="234"/>
      <c r="I84" s="205"/>
      <c r="J84" s="205"/>
      <c r="K84" s="204"/>
      <c r="L84" s="205"/>
      <c r="M84" s="205" t="s">
        <v>12</v>
      </c>
      <c r="N84" s="205"/>
      <c r="O84" s="205"/>
      <c r="P84" s="205"/>
      <c r="Q84" s="205"/>
      <c r="R84" s="205"/>
      <c r="S84" s="205"/>
      <c r="T84" s="205"/>
      <c r="U84" s="205"/>
      <c r="V84" s="205"/>
      <c r="W84" s="206"/>
      <c r="X84" s="205"/>
      <c r="Y84" s="205"/>
      <c r="Z84" s="205"/>
      <c r="AA84" s="205"/>
      <c r="AB84" s="205"/>
      <c r="AC84" s="205"/>
      <c r="AD84" s="205"/>
      <c r="AE84" s="205"/>
      <c r="AF84" s="204"/>
      <c r="AG84" s="205"/>
      <c r="AH84" s="205">
        <v>1</v>
      </c>
      <c r="AI84" s="205"/>
      <c r="AJ84" s="205"/>
      <c r="AK84" s="205"/>
      <c r="AL84" s="205"/>
      <c r="AM84" s="206"/>
      <c r="AN84" s="205">
        <f t="shared" si="1"/>
        <v>1</v>
      </c>
    </row>
    <row r="85" spans="1:40" ht="23" x14ac:dyDescent="0.35">
      <c r="A85" s="203" t="s">
        <v>2057</v>
      </c>
      <c r="B85" s="203" t="s">
        <v>566</v>
      </c>
      <c r="C85" s="203" t="s">
        <v>8</v>
      </c>
      <c r="D85" s="203">
        <v>200</v>
      </c>
      <c r="E85" s="203" t="s">
        <v>567</v>
      </c>
      <c r="F85" s="228"/>
      <c r="G85" s="231">
        <v>1</v>
      </c>
      <c r="H85" s="234"/>
      <c r="I85" s="205" t="s">
        <v>12</v>
      </c>
      <c r="J85" s="205"/>
      <c r="K85" s="204"/>
      <c r="L85" s="205"/>
      <c r="M85" s="205"/>
      <c r="N85" s="205"/>
      <c r="O85" s="205"/>
      <c r="P85" s="205"/>
      <c r="Q85" s="205"/>
      <c r="R85" s="205"/>
      <c r="S85" s="205" t="s">
        <v>12</v>
      </c>
      <c r="T85" s="205"/>
      <c r="U85" s="205"/>
      <c r="V85" s="205"/>
      <c r="W85" s="206"/>
      <c r="X85" s="205"/>
      <c r="Y85" s="205"/>
      <c r="Z85" s="205"/>
      <c r="AA85" s="205"/>
      <c r="AB85" s="205"/>
      <c r="AC85" s="205"/>
      <c r="AD85" s="205"/>
      <c r="AE85" s="205"/>
      <c r="AF85" s="204"/>
      <c r="AG85" s="205"/>
      <c r="AH85" s="205"/>
      <c r="AI85" s="205"/>
      <c r="AJ85" s="205">
        <v>2</v>
      </c>
      <c r="AK85" s="205"/>
      <c r="AL85" s="205"/>
      <c r="AM85" s="206"/>
      <c r="AN85" s="205">
        <f t="shared" si="1"/>
        <v>2</v>
      </c>
    </row>
    <row r="86" spans="1:40" ht="23" x14ac:dyDescent="0.35">
      <c r="A86" s="203" t="s">
        <v>2057</v>
      </c>
      <c r="B86" s="203" t="s">
        <v>594</v>
      </c>
      <c r="C86" s="203" t="s">
        <v>8</v>
      </c>
      <c r="D86" s="203">
        <v>200</v>
      </c>
      <c r="E86" s="203" t="s">
        <v>595</v>
      </c>
      <c r="F86" s="228"/>
      <c r="G86" s="231">
        <v>1</v>
      </c>
      <c r="H86" s="234">
        <v>1</v>
      </c>
      <c r="I86" s="205"/>
      <c r="J86" s="205"/>
      <c r="K86" s="204"/>
      <c r="L86" s="205"/>
      <c r="M86" s="205"/>
      <c r="N86" s="205"/>
      <c r="O86" s="205"/>
      <c r="P86" s="205"/>
      <c r="Q86" s="205"/>
      <c r="R86" s="205"/>
      <c r="S86" s="205"/>
      <c r="T86" s="205"/>
      <c r="U86" s="205"/>
      <c r="V86" s="205"/>
      <c r="W86" s="206"/>
      <c r="X86" s="205"/>
      <c r="Y86" s="205"/>
      <c r="Z86" s="205"/>
      <c r="AA86" s="205"/>
      <c r="AB86" s="205"/>
      <c r="AC86" s="205"/>
      <c r="AD86" s="205"/>
      <c r="AE86" s="205"/>
      <c r="AF86" s="204">
        <v>2</v>
      </c>
      <c r="AG86" s="205"/>
      <c r="AH86" s="205"/>
      <c r="AI86" s="205"/>
      <c r="AJ86" s="205"/>
      <c r="AK86" s="205"/>
      <c r="AL86" s="205"/>
      <c r="AM86" s="206"/>
      <c r="AN86" s="205">
        <f t="shared" si="1"/>
        <v>2</v>
      </c>
    </row>
    <row r="87" spans="1:40" ht="23" x14ac:dyDescent="0.35">
      <c r="A87" s="203" t="s">
        <v>2057</v>
      </c>
      <c r="B87" s="203" t="s">
        <v>585</v>
      </c>
      <c r="C87" s="203" t="s">
        <v>8</v>
      </c>
      <c r="D87" s="203">
        <v>300</v>
      </c>
      <c r="E87" s="203" t="s">
        <v>587</v>
      </c>
      <c r="F87" s="228"/>
      <c r="G87" s="231">
        <v>1</v>
      </c>
      <c r="H87" s="234">
        <v>1</v>
      </c>
      <c r="I87" s="205"/>
      <c r="J87" s="205" t="s">
        <v>12</v>
      </c>
      <c r="K87" s="204"/>
      <c r="L87" s="205"/>
      <c r="M87" s="205"/>
      <c r="N87" s="205" t="s">
        <v>12</v>
      </c>
      <c r="O87" s="205"/>
      <c r="P87" s="205"/>
      <c r="Q87" s="205"/>
      <c r="R87" s="205"/>
      <c r="S87" s="205"/>
      <c r="T87" s="205"/>
      <c r="U87" s="205"/>
      <c r="V87" s="205"/>
      <c r="W87" s="206"/>
      <c r="X87" s="205" t="s">
        <v>12</v>
      </c>
      <c r="Y87" s="205"/>
      <c r="Z87" s="205"/>
      <c r="AA87" s="205"/>
      <c r="AB87" s="205"/>
      <c r="AC87" s="205"/>
      <c r="AD87" s="205"/>
      <c r="AE87" s="205"/>
      <c r="AF87" s="204"/>
      <c r="AG87" s="205">
        <v>1</v>
      </c>
      <c r="AH87" s="205"/>
      <c r="AI87" s="205"/>
      <c r="AJ87" s="205"/>
      <c r="AK87" s="205"/>
      <c r="AL87" s="205"/>
      <c r="AM87" s="206"/>
      <c r="AN87" s="205">
        <f t="shared" si="1"/>
        <v>1</v>
      </c>
    </row>
    <row r="88" spans="1:40" ht="23" x14ac:dyDescent="0.35">
      <c r="A88" s="203" t="s">
        <v>2057</v>
      </c>
      <c r="B88" s="203" t="s">
        <v>571</v>
      </c>
      <c r="C88" s="203" t="s">
        <v>8</v>
      </c>
      <c r="D88" s="203">
        <v>300</v>
      </c>
      <c r="E88" s="203" t="s">
        <v>572</v>
      </c>
      <c r="F88" s="228">
        <v>1</v>
      </c>
      <c r="G88" s="231">
        <v>1</v>
      </c>
      <c r="H88" s="234"/>
      <c r="I88" s="205"/>
      <c r="J88" s="205" t="s">
        <v>12</v>
      </c>
      <c r="K88" s="204"/>
      <c r="L88" s="205"/>
      <c r="M88" s="205"/>
      <c r="N88" s="205"/>
      <c r="O88" s="205"/>
      <c r="P88" s="205"/>
      <c r="Q88" s="205"/>
      <c r="R88" s="205"/>
      <c r="S88" s="205"/>
      <c r="T88" s="205" t="s">
        <v>12</v>
      </c>
      <c r="U88" s="205"/>
      <c r="V88" s="205"/>
      <c r="W88" s="206"/>
      <c r="X88" s="205"/>
      <c r="Y88" s="205"/>
      <c r="Z88" s="205"/>
      <c r="AA88" s="205"/>
      <c r="AB88" s="205"/>
      <c r="AC88" s="205" t="s">
        <v>12</v>
      </c>
      <c r="AD88" s="205" t="s">
        <v>12</v>
      </c>
      <c r="AE88" s="205"/>
      <c r="AF88" s="204"/>
      <c r="AG88" s="205"/>
      <c r="AH88" s="205"/>
      <c r="AI88" s="205">
        <v>1</v>
      </c>
      <c r="AJ88" s="205"/>
      <c r="AK88" s="205"/>
      <c r="AL88" s="205"/>
      <c r="AM88" s="206"/>
      <c r="AN88" s="205">
        <f t="shared" si="1"/>
        <v>1</v>
      </c>
    </row>
    <row r="89" spans="1:40" ht="23" x14ac:dyDescent="0.35">
      <c r="A89" s="203" t="s">
        <v>2057</v>
      </c>
      <c r="B89" s="203" t="s">
        <v>576</v>
      </c>
      <c r="C89" s="203" t="s">
        <v>131</v>
      </c>
      <c r="D89" s="203">
        <v>400</v>
      </c>
      <c r="E89" s="203" t="s">
        <v>577</v>
      </c>
      <c r="F89" s="228"/>
      <c r="G89" s="231"/>
      <c r="H89" s="234"/>
      <c r="I89" s="205"/>
      <c r="J89" s="205"/>
      <c r="K89" s="204"/>
      <c r="L89" s="205"/>
      <c r="M89" s="205"/>
      <c r="N89" s="205"/>
      <c r="O89" s="205"/>
      <c r="P89" s="205"/>
      <c r="Q89" s="205"/>
      <c r="R89" s="205"/>
      <c r="S89" s="205"/>
      <c r="T89" s="205"/>
      <c r="U89" s="205"/>
      <c r="V89" s="205"/>
      <c r="W89" s="206"/>
      <c r="X89" s="205"/>
      <c r="Y89" s="205"/>
      <c r="Z89" s="205"/>
      <c r="AA89" s="205"/>
      <c r="AB89" s="205"/>
      <c r="AC89" s="205"/>
      <c r="AD89" s="205"/>
      <c r="AE89" s="205"/>
      <c r="AF89" s="204"/>
      <c r="AG89" s="205"/>
      <c r="AH89" s="205">
        <v>1</v>
      </c>
      <c r="AI89" s="205"/>
      <c r="AJ89" s="205"/>
      <c r="AK89" s="205"/>
      <c r="AL89" s="205"/>
      <c r="AM89" s="206"/>
      <c r="AN89" s="205">
        <f t="shared" si="1"/>
        <v>1</v>
      </c>
    </row>
    <row r="90" spans="1:40" ht="23" x14ac:dyDescent="0.35">
      <c r="A90" s="203" t="s">
        <v>2057</v>
      </c>
      <c r="B90" s="203" t="s">
        <v>568</v>
      </c>
      <c r="C90" s="203" t="s">
        <v>131</v>
      </c>
      <c r="D90" s="203">
        <v>400</v>
      </c>
      <c r="E90" s="203" t="s">
        <v>569</v>
      </c>
      <c r="F90" s="228">
        <v>1</v>
      </c>
      <c r="G90" s="231"/>
      <c r="H90" s="234"/>
      <c r="I90" s="205"/>
      <c r="J90" s="205"/>
      <c r="K90" s="204"/>
      <c r="L90" s="205"/>
      <c r="M90" s="205"/>
      <c r="N90" s="205"/>
      <c r="O90" s="205"/>
      <c r="P90" s="205"/>
      <c r="Q90" s="205"/>
      <c r="R90" s="205"/>
      <c r="S90" s="205"/>
      <c r="T90" s="205"/>
      <c r="U90" s="205"/>
      <c r="V90" s="205"/>
      <c r="W90" s="206"/>
      <c r="X90" s="205"/>
      <c r="Y90" s="205"/>
      <c r="Z90" s="205"/>
      <c r="AA90" s="205"/>
      <c r="AB90" s="205"/>
      <c r="AC90" s="205"/>
      <c r="AD90" s="205"/>
      <c r="AE90" s="205"/>
      <c r="AF90" s="204"/>
      <c r="AG90" s="205"/>
      <c r="AH90" s="205"/>
      <c r="AI90" s="205"/>
      <c r="AJ90" s="205">
        <v>2</v>
      </c>
      <c r="AK90" s="205"/>
      <c r="AL90" s="205"/>
      <c r="AM90" s="206"/>
      <c r="AN90" s="205">
        <f t="shared" si="1"/>
        <v>2</v>
      </c>
    </row>
    <row r="91" spans="1:40" ht="23" x14ac:dyDescent="0.35">
      <c r="A91" s="203" t="s">
        <v>2057</v>
      </c>
      <c r="B91" s="203" t="s">
        <v>573</v>
      </c>
      <c r="C91" s="203" t="s">
        <v>131</v>
      </c>
      <c r="D91" s="203">
        <v>1200</v>
      </c>
      <c r="E91" s="211" t="s">
        <v>574</v>
      </c>
      <c r="F91" s="228"/>
      <c r="G91" s="231">
        <v>1</v>
      </c>
      <c r="H91" s="234"/>
      <c r="I91" s="205"/>
      <c r="J91" s="205"/>
      <c r="K91" s="204"/>
      <c r="L91" s="205"/>
      <c r="M91" s="205"/>
      <c r="N91" s="205"/>
      <c r="O91" s="205"/>
      <c r="P91" s="205"/>
      <c r="Q91" s="205"/>
      <c r="R91" s="205"/>
      <c r="S91" s="205"/>
      <c r="T91" s="205"/>
      <c r="U91" s="205"/>
      <c r="V91" s="205"/>
      <c r="W91" s="206"/>
      <c r="X91" s="205"/>
      <c r="Y91" s="205"/>
      <c r="Z91" s="205"/>
      <c r="AA91" s="205"/>
      <c r="AB91" s="205"/>
      <c r="AC91" s="205"/>
      <c r="AD91" s="205"/>
      <c r="AE91" s="205" t="s">
        <v>12</v>
      </c>
      <c r="AF91" s="204">
        <v>2</v>
      </c>
      <c r="AG91" s="205"/>
      <c r="AH91" s="205"/>
      <c r="AI91" s="205"/>
      <c r="AJ91" s="205"/>
      <c r="AK91" s="205"/>
      <c r="AL91" s="205"/>
      <c r="AM91" s="206"/>
      <c r="AN91" s="205">
        <f t="shared" si="1"/>
        <v>2</v>
      </c>
    </row>
    <row r="92" spans="1:40" ht="34.5" x14ac:dyDescent="0.35">
      <c r="A92" s="203" t="s">
        <v>2057</v>
      </c>
      <c r="B92" s="203" t="s">
        <v>578</v>
      </c>
      <c r="C92" s="203" t="s">
        <v>131</v>
      </c>
      <c r="D92" s="203">
        <v>1200</v>
      </c>
      <c r="E92" s="203" t="s">
        <v>579</v>
      </c>
      <c r="F92" s="228"/>
      <c r="G92" s="231">
        <v>1</v>
      </c>
      <c r="H92" s="234">
        <v>1</v>
      </c>
      <c r="I92" s="205"/>
      <c r="J92" s="205"/>
      <c r="K92" s="204"/>
      <c r="L92" s="205"/>
      <c r="M92" s="205"/>
      <c r="N92" s="205"/>
      <c r="O92" s="205"/>
      <c r="P92" s="205"/>
      <c r="Q92" s="205"/>
      <c r="R92" s="205"/>
      <c r="S92" s="205"/>
      <c r="T92" s="205"/>
      <c r="U92" s="205"/>
      <c r="V92" s="205"/>
      <c r="W92" s="206"/>
      <c r="X92" s="205"/>
      <c r="Y92" s="205"/>
      <c r="Z92" s="205"/>
      <c r="AA92" s="205"/>
      <c r="AB92" s="205"/>
      <c r="AC92" s="205"/>
      <c r="AD92" s="205"/>
      <c r="AE92" s="205"/>
      <c r="AF92" s="204"/>
      <c r="AG92" s="205">
        <v>2</v>
      </c>
      <c r="AH92" s="205"/>
      <c r="AI92" s="205"/>
      <c r="AJ92" s="205"/>
      <c r="AK92" s="205"/>
      <c r="AL92" s="205"/>
      <c r="AM92" s="206"/>
      <c r="AN92" s="205">
        <f t="shared" si="1"/>
        <v>2</v>
      </c>
    </row>
    <row r="93" spans="1:40" ht="23" x14ac:dyDescent="0.35">
      <c r="A93" s="203" t="s">
        <v>2057</v>
      </c>
      <c r="B93" s="203" t="s">
        <v>581</v>
      </c>
      <c r="C93" s="203" t="s">
        <v>131</v>
      </c>
      <c r="D93" s="203">
        <v>1000</v>
      </c>
      <c r="E93" s="203" t="s">
        <v>1862</v>
      </c>
      <c r="F93" s="228">
        <v>1</v>
      </c>
      <c r="G93" s="231"/>
      <c r="H93" s="234"/>
      <c r="I93" s="205"/>
      <c r="J93" s="205"/>
      <c r="K93" s="204"/>
      <c r="L93" s="205"/>
      <c r="M93" s="205"/>
      <c r="N93" s="205"/>
      <c r="O93" s="205"/>
      <c r="P93" s="205"/>
      <c r="Q93" s="205"/>
      <c r="R93" s="205"/>
      <c r="S93" s="205"/>
      <c r="T93" s="205"/>
      <c r="U93" s="205"/>
      <c r="V93" s="205"/>
      <c r="W93" s="206"/>
      <c r="X93" s="205"/>
      <c r="Y93" s="205" t="s">
        <v>12</v>
      </c>
      <c r="Z93" s="205"/>
      <c r="AA93" s="205"/>
      <c r="AB93" s="205"/>
      <c r="AC93" s="205"/>
      <c r="AD93" s="205"/>
      <c r="AE93" s="205"/>
      <c r="AF93" s="204"/>
      <c r="AG93" s="205">
        <v>1</v>
      </c>
      <c r="AH93" s="205"/>
      <c r="AI93" s="205"/>
      <c r="AJ93" s="205"/>
      <c r="AK93" s="205"/>
      <c r="AL93" s="205"/>
      <c r="AM93" s="206"/>
      <c r="AN93" s="205">
        <f t="shared" si="1"/>
        <v>1</v>
      </c>
    </row>
    <row r="94" spans="1:40" ht="23" x14ac:dyDescent="0.35">
      <c r="A94" s="203" t="s">
        <v>2057</v>
      </c>
      <c r="B94" s="203" t="s">
        <v>2645</v>
      </c>
      <c r="C94" s="203" t="s">
        <v>131</v>
      </c>
      <c r="D94" s="203">
        <v>1000</v>
      </c>
      <c r="E94" s="203" t="s">
        <v>570</v>
      </c>
      <c r="F94" s="228"/>
      <c r="G94" s="231"/>
      <c r="H94" s="234"/>
      <c r="I94" s="205"/>
      <c r="J94" s="205"/>
      <c r="K94" s="204"/>
      <c r="L94" s="205"/>
      <c r="M94" s="205"/>
      <c r="N94" s="205"/>
      <c r="O94" s="205"/>
      <c r="P94" s="205"/>
      <c r="Q94" s="205"/>
      <c r="R94" s="205"/>
      <c r="S94" s="205"/>
      <c r="T94" s="205"/>
      <c r="U94" s="205"/>
      <c r="V94" s="205"/>
      <c r="W94" s="206"/>
      <c r="X94" s="205"/>
      <c r="Y94" s="205"/>
      <c r="Z94" s="205"/>
      <c r="AA94" s="205" t="s">
        <v>12</v>
      </c>
      <c r="AB94" s="205"/>
      <c r="AC94" s="205"/>
      <c r="AD94" s="205"/>
      <c r="AE94" s="205"/>
      <c r="AF94" s="204"/>
      <c r="AG94" s="205"/>
      <c r="AH94" s="205"/>
      <c r="AI94" s="205">
        <v>2</v>
      </c>
      <c r="AJ94" s="205"/>
      <c r="AK94" s="205"/>
      <c r="AL94" s="205"/>
      <c r="AM94" s="206"/>
      <c r="AN94" s="205">
        <f t="shared" si="1"/>
        <v>2</v>
      </c>
    </row>
    <row r="95" spans="1:40" ht="23" x14ac:dyDescent="0.35">
      <c r="A95" s="203" t="s">
        <v>2057</v>
      </c>
      <c r="B95" s="203" t="s">
        <v>590</v>
      </c>
      <c r="C95" s="203" t="s">
        <v>131</v>
      </c>
      <c r="D95" s="203">
        <v>1200</v>
      </c>
      <c r="E95" s="203" t="s">
        <v>1870</v>
      </c>
      <c r="F95" s="228">
        <v>1</v>
      </c>
      <c r="G95" s="231"/>
      <c r="H95" s="234"/>
      <c r="I95" s="205"/>
      <c r="J95" s="205"/>
      <c r="K95" s="204"/>
      <c r="L95" s="205"/>
      <c r="M95" s="205"/>
      <c r="N95" s="205"/>
      <c r="O95" s="205"/>
      <c r="P95" s="205"/>
      <c r="Q95" s="205"/>
      <c r="R95" s="205"/>
      <c r="S95" s="205"/>
      <c r="T95" s="205"/>
      <c r="U95" s="205"/>
      <c r="V95" s="205"/>
      <c r="W95" s="206"/>
      <c r="X95" s="205"/>
      <c r="Y95" s="205" t="s">
        <v>12</v>
      </c>
      <c r="Z95" s="205"/>
      <c r="AA95" s="205"/>
      <c r="AB95" s="205"/>
      <c r="AC95" s="205" t="s">
        <v>12</v>
      </c>
      <c r="AD95" s="205"/>
      <c r="AE95" s="205"/>
      <c r="AF95" s="204"/>
      <c r="AG95" s="205"/>
      <c r="AH95" s="205"/>
      <c r="AI95" s="205">
        <v>1</v>
      </c>
      <c r="AJ95" s="205"/>
      <c r="AK95" s="205"/>
      <c r="AL95" s="205"/>
      <c r="AM95" s="206"/>
      <c r="AN95" s="205">
        <f t="shared" si="1"/>
        <v>1</v>
      </c>
    </row>
    <row r="96" spans="1:40" ht="34.5" x14ac:dyDescent="0.35">
      <c r="A96" s="203" t="s">
        <v>2057</v>
      </c>
      <c r="B96" s="203" t="s">
        <v>575</v>
      </c>
      <c r="C96" s="203" t="s">
        <v>131</v>
      </c>
      <c r="D96" s="203">
        <v>0</v>
      </c>
      <c r="E96" s="203" t="s">
        <v>582</v>
      </c>
      <c r="F96" s="228"/>
      <c r="G96" s="231"/>
      <c r="H96" s="234"/>
      <c r="I96" s="205"/>
      <c r="J96" s="205"/>
      <c r="K96" s="204"/>
      <c r="L96" s="205"/>
      <c r="M96" s="205"/>
      <c r="N96" s="205"/>
      <c r="O96" s="205"/>
      <c r="P96" s="205"/>
      <c r="Q96" s="205"/>
      <c r="R96" s="205"/>
      <c r="S96" s="205"/>
      <c r="T96" s="205"/>
      <c r="U96" s="205"/>
      <c r="V96" s="205"/>
      <c r="W96" s="206"/>
      <c r="X96" s="205"/>
      <c r="Y96" s="205"/>
      <c r="Z96" s="205"/>
      <c r="AA96" s="205"/>
      <c r="AB96" s="205"/>
      <c r="AC96" s="205"/>
      <c r="AD96" s="205"/>
      <c r="AE96" s="205"/>
      <c r="AF96" s="204">
        <v>1</v>
      </c>
      <c r="AG96" s="205"/>
      <c r="AH96" s="205"/>
      <c r="AI96" s="205"/>
      <c r="AJ96" s="205"/>
      <c r="AK96" s="205"/>
      <c r="AL96" s="205"/>
      <c r="AM96" s="206"/>
      <c r="AN96" s="205">
        <f t="shared" si="1"/>
        <v>1</v>
      </c>
    </row>
    <row r="97" spans="1:40" ht="23" x14ac:dyDescent="0.35">
      <c r="A97" s="203" t="s">
        <v>2057</v>
      </c>
      <c r="B97" s="203" t="s">
        <v>589</v>
      </c>
      <c r="C97" s="203" t="s">
        <v>131</v>
      </c>
      <c r="D97" s="203">
        <v>1200</v>
      </c>
      <c r="E97" s="203" t="s">
        <v>1867</v>
      </c>
      <c r="F97" s="228">
        <v>1</v>
      </c>
      <c r="G97" s="231"/>
      <c r="H97" s="234"/>
      <c r="I97" s="205"/>
      <c r="J97" s="205"/>
      <c r="K97" s="204"/>
      <c r="L97" s="205"/>
      <c r="M97" s="205"/>
      <c r="N97" s="205"/>
      <c r="O97" s="205"/>
      <c r="P97" s="205"/>
      <c r="Q97" s="205"/>
      <c r="R97" s="205"/>
      <c r="S97" s="205"/>
      <c r="T97" s="205"/>
      <c r="U97" s="205"/>
      <c r="V97" s="205"/>
      <c r="W97" s="206"/>
      <c r="X97" s="205"/>
      <c r="Y97" s="205"/>
      <c r="Z97" s="205"/>
      <c r="AA97" s="205"/>
      <c r="AB97" s="205"/>
      <c r="AC97" s="205" t="s">
        <v>12</v>
      </c>
      <c r="AD97" s="205" t="s">
        <v>12</v>
      </c>
      <c r="AE97" s="205"/>
      <c r="AF97" s="204"/>
      <c r="AG97" s="205"/>
      <c r="AH97" s="205"/>
      <c r="AI97" s="205">
        <v>1</v>
      </c>
      <c r="AJ97" s="205"/>
      <c r="AK97" s="205"/>
      <c r="AL97" s="205"/>
      <c r="AM97" s="206"/>
      <c r="AN97" s="205">
        <f t="shared" si="1"/>
        <v>1</v>
      </c>
    </row>
    <row r="98" spans="1:40" ht="34.5" x14ac:dyDescent="0.35">
      <c r="A98" s="203" t="s">
        <v>2057</v>
      </c>
      <c r="B98" s="203" t="s">
        <v>583</v>
      </c>
      <c r="C98" s="203" t="s">
        <v>131</v>
      </c>
      <c r="D98" s="203">
        <v>1200</v>
      </c>
      <c r="E98" s="203" t="s">
        <v>584</v>
      </c>
      <c r="F98" s="228"/>
      <c r="G98" s="231">
        <v>1</v>
      </c>
      <c r="H98" s="234"/>
      <c r="I98" s="205"/>
      <c r="J98" s="205"/>
      <c r="K98" s="204"/>
      <c r="L98" s="205"/>
      <c r="M98" s="205"/>
      <c r="N98" s="205"/>
      <c r="O98" s="205"/>
      <c r="P98" s="205"/>
      <c r="Q98" s="205"/>
      <c r="R98" s="205"/>
      <c r="S98" s="205"/>
      <c r="T98" s="205"/>
      <c r="U98" s="205"/>
      <c r="V98" s="205"/>
      <c r="W98" s="206"/>
      <c r="X98" s="205"/>
      <c r="Y98" s="205"/>
      <c r="Z98" s="205"/>
      <c r="AA98" s="205"/>
      <c r="AB98" s="205"/>
      <c r="AC98" s="205"/>
      <c r="AD98" s="205"/>
      <c r="AE98" s="205"/>
      <c r="AF98" s="204"/>
      <c r="AG98" s="205"/>
      <c r="AH98" s="205"/>
      <c r="AI98" s="205"/>
      <c r="AJ98" s="205">
        <v>1</v>
      </c>
      <c r="AK98" s="205"/>
      <c r="AL98" s="205"/>
      <c r="AM98" s="206"/>
      <c r="AN98" s="205">
        <f t="shared" si="1"/>
        <v>1</v>
      </c>
    </row>
    <row r="99" spans="1:40" ht="23" x14ac:dyDescent="0.35">
      <c r="A99" s="203" t="s">
        <v>2057</v>
      </c>
      <c r="B99" s="203" t="s">
        <v>580</v>
      </c>
      <c r="C99" s="203" t="s">
        <v>131</v>
      </c>
      <c r="D99" s="203">
        <v>600</v>
      </c>
      <c r="E99" s="203" t="s">
        <v>1880</v>
      </c>
      <c r="F99" s="228">
        <v>2</v>
      </c>
      <c r="G99" s="231"/>
      <c r="H99" s="234"/>
      <c r="I99" s="205"/>
      <c r="J99" s="205"/>
      <c r="K99" s="204"/>
      <c r="L99" s="205"/>
      <c r="M99" s="205"/>
      <c r="N99" s="205"/>
      <c r="O99" s="205"/>
      <c r="P99" s="205"/>
      <c r="Q99" s="205"/>
      <c r="R99" s="205"/>
      <c r="S99" s="205"/>
      <c r="T99" s="205"/>
      <c r="U99" s="205"/>
      <c r="V99" s="205"/>
      <c r="W99" s="206"/>
      <c r="X99" s="205"/>
      <c r="Y99" s="205"/>
      <c r="Z99" s="205"/>
      <c r="AA99" s="205"/>
      <c r="AB99" s="205"/>
      <c r="AC99" s="205" t="s">
        <v>12</v>
      </c>
      <c r="AD99" s="205"/>
      <c r="AE99" s="205"/>
      <c r="AF99" s="204"/>
      <c r="AG99" s="205"/>
      <c r="AH99" s="205">
        <v>2</v>
      </c>
      <c r="AI99" s="205"/>
      <c r="AJ99" s="205"/>
      <c r="AK99" s="205"/>
      <c r="AL99" s="205"/>
      <c r="AM99" s="206"/>
      <c r="AN99" s="205">
        <f t="shared" si="1"/>
        <v>2</v>
      </c>
    </row>
    <row r="100" spans="1:40" ht="23" x14ac:dyDescent="0.35">
      <c r="A100" s="203" t="s">
        <v>2058</v>
      </c>
      <c r="B100" s="203" t="s">
        <v>690</v>
      </c>
      <c r="C100" s="203" t="s">
        <v>8</v>
      </c>
      <c r="D100" s="203">
        <v>0</v>
      </c>
      <c r="E100" s="203" t="s">
        <v>1858</v>
      </c>
      <c r="F100" s="228"/>
      <c r="G100" s="231">
        <v>1</v>
      </c>
      <c r="H100" s="234">
        <v>1</v>
      </c>
      <c r="I100" s="205"/>
      <c r="J100" s="205"/>
      <c r="K100" s="204"/>
      <c r="L100" s="205" t="s">
        <v>12</v>
      </c>
      <c r="M100" s="205"/>
      <c r="N100" s="205"/>
      <c r="O100" s="205"/>
      <c r="P100" s="205"/>
      <c r="Q100" s="205"/>
      <c r="R100" s="205"/>
      <c r="S100" s="205"/>
      <c r="T100" s="205"/>
      <c r="U100" s="205"/>
      <c r="V100" s="205"/>
      <c r="W100" s="206"/>
      <c r="X100" s="205"/>
      <c r="Y100" s="205"/>
      <c r="Z100" s="205"/>
      <c r="AA100" s="205"/>
      <c r="AB100" s="205"/>
      <c r="AC100" s="205"/>
      <c r="AD100" s="205"/>
      <c r="AE100" s="205"/>
      <c r="AF100" s="204"/>
      <c r="AG100" s="205"/>
      <c r="AH100" s="205"/>
      <c r="AI100" s="205"/>
      <c r="AJ100" s="205">
        <v>1</v>
      </c>
      <c r="AK100" s="205"/>
      <c r="AL100" s="205"/>
      <c r="AM100" s="206"/>
      <c r="AN100" s="205">
        <f t="shared" si="1"/>
        <v>1</v>
      </c>
    </row>
    <row r="101" spans="1:40" ht="23" x14ac:dyDescent="0.35">
      <c r="A101" s="203" t="s">
        <v>2058</v>
      </c>
      <c r="B101" s="203" t="s">
        <v>700</v>
      </c>
      <c r="C101" s="203" t="s">
        <v>8</v>
      </c>
      <c r="D101" s="203">
        <v>200</v>
      </c>
      <c r="E101" s="203" t="s">
        <v>701</v>
      </c>
      <c r="F101" s="228">
        <v>2</v>
      </c>
      <c r="G101" s="231"/>
      <c r="H101" s="234"/>
      <c r="I101" s="205"/>
      <c r="J101" s="205" t="s">
        <v>12</v>
      </c>
      <c r="K101" s="204"/>
      <c r="L101" s="205"/>
      <c r="M101" s="205" t="s">
        <v>12</v>
      </c>
      <c r="N101" s="205"/>
      <c r="O101" s="205"/>
      <c r="P101" s="205"/>
      <c r="Q101" s="205"/>
      <c r="R101" s="205"/>
      <c r="S101" s="205"/>
      <c r="T101" s="205"/>
      <c r="U101" s="205"/>
      <c r="V101" s="205"/>
      <c r="W101" s="206"/>
      <c r="X101" s="205"/>
      <c r="Y101" s="205"/>
      <c r="Z101" s="205"/>
      <c r="AA101" s="205"/>
      <c r="AB101" s="205"/>
      <c r="AC101" s="205"/>
      <c r="AD101" s="205"/>
      <c r="AE101" s="205"/>
      <c r="AF101" s="204"/>
      <c r="AG101" s="205"/>
      <c r="AH101" s="205">
        <v>2</v>
      </c>
      <c r="AI101" s="205">
        <v>2</v>
      </c>
      <c r="AJ101" s="205"/>
      <c r="AK101" s="205"/>
      <c r="AL101" s="205"/>
      <c r="AM101" s="206"/>
      <c r="AN101" s="205">
        <f t="shared" si="1"/>
        <v>4</v>
      </c>
    </row>
    <row r="102" spans="1:40" ht="23" x14ac:dyDescent="0.35">
      <c r="A102" s="203" t="s">
        <v>2058</v>
      </c>
      <c r="B102" s="203" t="s">
        <v>703</v>
      </c>
      <c r="C102" s="203" t="s">
        <v>8</v>
      </c>
      <c r="D102" s="203">
        <v>200</v>
      </c>
      <c r="E102" s="203" t="s">
        <v>1884</v>
      </c>
      <c r="F102" s="228"/>
      <c r="G102" s="231"/>
      <c r="H102" s="234">
        <v>2</v>
      </c>
      <c r="I102" s="205"/>
      <c r="J102" s="205"/>
      <c r="K102" s="204"/>
      <c r="L102" s="205"/>
      <c r="M102" s="205"/>
      <c r="N102" s="205" t="s">
        <v>12</v>
      </c>
      <c r="O102" s="205"/>
      <c r="P102" s="205"/>
      <c r="Q102" s="205"/>
      <c r="R102" s="205"/>
      <c r="S102" s="205"/>
      <c r="T102" s="205"/>
      <c r="U102" s="205"/>
      <c r="V102" s="205"/>
      <c r="W102" s="206"/>
      <c r="X102" s="205"/>
      <c r="Y102" s="205"/>
      <c r="Z102" s="205"/>
      <c r="AA102" s="205"/>
      <c r="AB102" s="205"/>
      <c r="AC102" s="205"/>
      <c r="AD102" s="205"/>
      <c r="AE102" s="205"/>
      <c r="AF102" s="204"/>
      <c r="AG102" s="205"/>
      <c r="AH102" s="205">
        <v>1</v>
      </c>
      <c r="AI102" s="205"/>
      <c r="AJ102" s="205"/>
      <c r="AK102" s="205"/>
      <c r="AL102" s="205"/>
      <c r="AM102" s="206"/>
      <c r="AN102" s="205">
        <f t="shared" si="1"/>
        <v>1</v>
      </c>
    </row>
    <row r="103" spans="1:40" ht="23" x14ac:dyDescent="0.35">
      <c r="A103" s="203" t="s">
        <v>2058</v>
      </c>
      <c r="B103" s="203" t="s">
        <v>683</v>
      </c>
      <c r="C103" s="203" t="s">
        <v>8</v>
      </c>
      <c r="D103" s="203">
        <v>200</v>
      </c>
      <c r="E103" s="203" t="s">
        <v>708</v>
      </c>
      <c r="F103" s="228"/>
      <c r="G103" s="231">
        <v>1</v>
      </c>
      <c r="H103" s="234">
        <v>1</v>
      </c>
      <c r="I103" s="205"/>
      <c r="J103" s="205" t="s">
        <v>12</v>
      </c>
      <c r="K103" s="204"/>
      <c r="L103" s="205"/>
      <c r="M103" s="205"/>
      <c r="N103" s="205"/>
      <c r="O103" s="205"/>
      <c r="P103" s="205"/>
      <c r="Q103" s="205"/>
      <c r="R103" s="205"/>
      <c r="S103" s="205"/>
      <c r="T103" s="205"/>
      <c r="U103" s="205"/>
      <c r="V103" s="205"/>
      <c r="W103" s="206"/>
      <c r="X103" s="205"/>
      <c r="Y103" s="205"/>
      <c r="Z103" s="205"/>
      <c r="AA103" s="205"/>
      <c r="AB103" s="205"/>
      <c r="AC103" s="205"/>
      <c r="AD103" s="205"/>
      <c r="AE103" s="205"/>
      <c r="AF103" s="204">
        <v>1</v>
      </c>
      <c r="AG103" s="205"/>
      <c r="AH103" s="205"/>
      <c r="AI103" s="205"/>
      <c r="AJ103" s="205"/>
      <c r="AK103" s="205"/>
      <c r="AL103" s="205"/>
      <c r="AM103" s="206"/>
      <c r="AN103" s="205">
        <f t="shared" si="1"/>
        <v>1</v>
      </c>
    </row>
    <row r="104" spans="1:40" ht="23" x14ac:dyDescent="0.35">
      <c r="A104" s="203" t="s">
        <v>2058</v>
      </c>
      <c r="B104" s="203" t="s">
        <v>702</v>
      </c>
      <c r="C104" s="203" t="s">
        <v>8</v>
      </c>
      <c r="D104" s="203">
        <v>0</v>
      </c>
      <c r="E104" s="203" t="s">
        <v>2496</v>
      </c>
      <c r="F104" s="228"/>
      <c r="G104" s="231"/>
      <c r="H104" s="234">
        <v>1</v>
      </c>
      <c r="I104" s="205" t="s">
        <v>12</v>
      </c>
      <c r="J104" s="205"/>
      <c r="K104" s="204"/>
      <c r="L104" s="205" t="s">
        <v>12</v>
      </c>
      <c r="M104" s="205"/>
      <c r="N104" s="205"/>
      <c r="O104" s="205"/>
      <c r="P104" s="205"/>
      <c r="Q104" s="205"/>
      <c r="R104" s="205"/>
      <c r="S104" s="205"/>
      <c r="T104" s="205"/>
      <c r="U104" s="205"/>
      <c r="V104" s="205"/>
      <c r="W104" s="206"/>
      <c r="X104" s="205"/>
      <c r="Y104" s="205"/>
      <c r="Z104" s="205"/>
      <c r="AA104" s="205"/>
      <c r="AB104" s="205"/>
      <c r="AC104" s="205"/>
      <c r="AD104" s="205"/>
      <c r="AE104" s="205"/>
      <c r="AF104" s="204"/>
      <c r="AG104" s="205"/>
      <c r="AH104" s="205"/>
      <c r="AI104" s="205">
        <v>1</v>
      </c>
      <c r="AJ104" s="205"/>
      <c r="AK104" s="205"/>
      <c r="AL104" s="205"/>
      <c r="AM104" s="206"/>
      <c r="AN104" s="205">
        <f t="shared" si="1"/>
        <v>1</v>
      </c>
    </row>
    <row r="105" spans="1:40" ht="34.5" x14ac:dyDescent="0.35">
      <c r="A105" s="203" t="s">
        <v>2058</v>
      </c>
      <c r="B105" s="203" t="s">
        <v>698</v>
      </c>
      <c r="C105" s="203" t="s">
        <v>8</v>
      </c>
      <c r="D105" s="203">
        <v>0</v>
      </c>
      <c r="E105" s="203" t="s">
        <v>699</v>
      </c>
      <c r="F105" s="228">
        <v>1</v>
      </c>
      <c r="G105" s="231">
        <v>1</v>
      </c>
      <c r="H105" s="234"/>
      <c r="I105" s="205"/>
      <c r="J105" s="205"/>
      <c r="K105" s="204"/>
      <c r="L105" s="205" t="s">
        <v>12</v>
      </c>
      <c r="M105" s="205"/>
      <c r="N105" s="205"/>
      <c r="O105" s="205"/>
      <c r="P105" s="205"/>
      <c r="Q105" s="205"/>
      <c r="R105" s="205"/>
      <c r="S105" s="205"/>
      <c r="T105" s="205"/>
      <c r="U105" s="205"/>
      <c r="V105" s="205"/>
      <c r="W105" s="206"/>
      <c r="X105" s="205"/>
      <c r="Y105" s="205"/>
      <c r="Z105" s="205"/>
      <c r="AA105" s="205"/>
      <c r="AB105" s="205"/>
      <c r="AC105" s="205"/>
      <c r="AD105" s="205"/>
      <c r="AE105" s="205"/>
      <c r="AF105" s="204"/>
      <c r="AG105" s="205">
        <v>1</v>
      </c>
      <c r="AH105" s="205"/>
      <c r="AI105" s="205"/>
      <c r="AJ105" s="205"/>
      <c r="AK105" s="205"/>
      <c r="AL105" s="205"/>
      <c r="AM105" s="206"/>
      <c r="AN105" s="205">
        <f t="shared" si="1"/>
        <v>1</v>
      </c>
    </row>
    <row r="106" spans="1:40" ht="23" x14ac:dyDescent="0.35">
      <c r="A106" s="203" t="s">
        <v>2058</v>
      </c>
      <c r="B106" s="203" t="s">
        <v>675</v>
      </c>
      <c r="C106" s="203" t="s">
        <v>8</v>
      </c>
      <c r="D106" s="203">
        <v>0</v>
      </c>
      <c r="E106" s="203" t="s">
        <v>2496</v>
      </c>
      <c r="F106" s="228">
        <v>1</v>
      </c>
      <c r="G106" s="231"/>
      <c r="H106" s="234"/>
      <c r="I106" s="205"/>
      <c r="J106" s="205"/>
      <c r="K106" s="204"/>
      <c r="L106" s="205" t="s">
        <v>12</v>
      </c>
      <c r="M106" s="205"/>
      <c r="N106" s="205"/>
      <c r="O106" s="205"/>
      <c r="P106" s="205"/>
      <c r="Q106" s="205"/>
      <c r="R106" s="205"/>
      <c r="S106" s="205"/>
      <c r="T106" s="205"/>
      <c r="U106" s="205"/>
      <c r="V106" s="205"/>
      <c r="W106" s="206"/>
      <c r="X106" s="205"/>
      <c r="Y106" s="205"/>
      <c r="Z106" s="205"/>
      <c r="AA106" s="205"/>
      <c r="AB106" s="205"/>
      <c r="AC106" s="205"/>
      <c r="AD106" s="205"/>
      <c r="AE106" s="205"/>
      <c r="AF106" s="204"/>
      <c r="AG106" s="205"/>
      <c r="AH106" s="205">
        <v>1</v>
      </c>
      <c r="AI106" s="205"/>
      <c r="AJ106" s="205"/>
      <c r="AK106" s="205"/>
      <c r="AL106" s="205"/>
      <c r="AM106" s="206"/>
      <c r="AN106" s="205">
        <f t="shared" si="1"/>
        <v>1</v>
      </c>
    </row>
    <row r="107" spans="1:40" ht="23" x14ac:dyDescent="0.35">
      <c r="A107" s="203" t="s">
        <v>2058</v>
      </c>
      <c r="B107" s="203" t="s">
        <v>706</v>
      </c>
      <c r="C107" s="203" t="s">
        <v>8</v>
      </c>
      <c r="D107" s="203">
        <v>0</v>
      </c>
      <c r="E107" s="203" t="s">
        <v>707</v>
      </c>
      <c r="F107" s="228"/>
      <c r="G107" s="231"/>
      <c r="H107" s="234"/>
      <c r="I107" s="205" t="s">
        <v>12</v>
      </c>
      <c r="J107" s="205"/>
      <c r="K107" s="204"/>
      <c r="L107" s="205"/>
      <c r="M107" s="205"/>
      <c r="N107" s="205"/>
      <c r="O107" s="205"/>
      <c r="P107" s="205"/>
      <c r="Q107" s="205"/>
      <c r="R107" s="205" t="s">
        <v>12</v>
      </c>
      <c r="S107" s="205"/>
      <c r="T107" s="205"/>
      <c r="U107" s="205"/>
      <c r="V107" s="205"/>
      <c r="W107" s="206"/>
      <c r="X107" s="205"/>
      <c r="Y107" s="205"/>
      <c r="Z107" s="205"/>
      <c r="AA107" s="205"/>
      <c r="AB107" s="205"/>
      <c r="AC107" s="205"/>
      <c r="AD107" s="205"/>
      <c r="AE107" s="205"/>
      <c r="AF107" s="204"/>
      <c r="AG107" s="205"/>
      <c r="AH107" s="205">
        <v>1</v>
      </c>
      <c r="AI107" s="205"/>
      <c r="AJ107" s="205"/>
      <c r="AK107" s="205"/>
      <c r="AL107" s="205"/>
      <c r="AM107" s="206"/>
      <c r="AN107" s="205">
        <f t="shared" si="1"/>
        <v>1</v>
      </c>
    </row>
    <row r="108" spans="1:40" ht="23" x14ac:dyDescent="0.35">
      <c r="A108" s="203" t="s">
        <v>2058</v>
      </c>
      <c r="B108" s="203" t="s">
        <v>676</v>
      </c>
      <c r="C108" s="203" t="s">
        <v>8</v>
      </c>
      <c r="D108" s="203">
        <v>0</v>
      </c>
      <c r="E108" s="203" t="s">
        <v>1879</v>
      </c>
      <c r="F108" s="228"/>
      <c r="G108" s="231"/>
      <c r="H108" s="234">
        <v>2</v>
      </c>
      <c r="I108" s="205" t="s">
        <v>12</v>
      </c>
      <c r="J108" s="205"/>
      <c r="K108" s="204"/>
      <c r="L108" s="205" t="s">
        <v>12</v>
      </c>
      <c r="M108" s="205"/>
      <c r="N108" s="205"/>
      <c r="O108" s="205"/>
      <c r="P108" s="205"/>
      <c r="Q108" s="205"/>
      <c r="R108" s="205"/>
      <c r="S108" s="205"/>
      <c r="T108" s="205"/>
      <c r="U108" s="205"/>
      <c r="V108" s="205"/>
      <c r="W108" s="206"/>
      <c r="X108" s="205"/>
      <c r="Y108" s="205"/>
      <c r="Z108" s="205"/>
      <c r="AA108" s="205"/>
      <c r="AB108" s="205"/>
      <c r="AC108" s="205"/>
      <c r="AD108" s="205"/>
      <c r="AE108" s="205"/>
      <c r="AF108" s="204"/>
      <c r="AG108" s="205"/>
      <c r="AH108" s="205"/>
      <c r="AI108" s="205">
        <v>1</v>
      </c>
      <c r="AJ108" s="205"/>
      <c r="AK108" s="205"/>
      <c r="AL108" s="205"/>
      <c r="AM108" s="206"/>
      <c r="AN108" s="205">
        <f t="shared" si="1"/>
        <v>1</v>
      </c>
    </row>
    <row r="109" spans="1:40" ht="23" x14ac:dyDescent="0.35">
      <c r="A109" s="203" t="s">
        <v>2058</v>
      </c>
      <c r="B109" s="203" t="s">
        <v>692</v>
      </c>
      <c r="C109" s="203" t="s">
        <v>8</v>
      </c>
      <c r="D109" s="203">
        <v>300</v>
      </c>
      <c r="E109" s="203" t="s">
        <v>1859</v>
      </c>
      <c r="F109" s="228">
        <v>1</v>
      </c>
      <c r="G109" s="231">
        <v>1</v>
      </c>
      <c r="H109" s="234"/>
      <c r="I109" s="205"/>
      <c r="J109" s="205"/>
      <c r="K109" s="204"/>
      <c r="L109" s="205"/>
      <c r="M109" s="205"/>
      <c r="N109" s="205"/>
      <c r="O109" s="205"/>
      <c r="P109" s="205"/>
      <c r="Q109" s="205" t="s">
        <v>12</v>
      </c>
      <c r="R109" s="205"/>
      <c r="S109" s="205"/>
      <c r="T109" s="205" t="s">
        <v>12</v>
      </c>
      <c r="U109" s="205"/>
      <c r="V109" s="205"/>
      <c r="W109" s="206"/>
      <c r="X109" s="205"/>
      <c r="Y109" s="205"/>
      <c r="Z109" s="205"/>
      <c r="AA109" s="205"/>
      <c r="AB109" s="205"/>
      <c r="AC109" s="205"/>
      <c r="AD109" s="205"/>
      <c r="AE109" s="205"/>
      <c r="AF109" s="204"/>
      <c r="AG109" s="205"/>
      <c r="AH109" s="205"/>
      <c r="AI109" s="205"/>
      <c r="AJ109" s="205">
        <v>1</v>
      </c>
      <c r="AK109" s="205"/>
      <c r="AL109" s="205"/>
      <c r="AM109" s="206"/>
      <c r="AN109" s="205">
        <f t="shared" si="1"/>
        <v>1</v>
      </c>
    </row>
    <row r="110" spans="1:40" ht="23" x14ac:dyDescent="0.35">
      <c r="A110" s="203" t="s">
        <v>2058</v>
      </c>
      <c r="B110" s="203" t="s">
        <v>2369</v>
      </c>
      <c r="C110" s="203" t="s">
        <v>736</v>
      </c>
      <c r="D110" s="203"/>
      <c r="E110" s="203" t="s">
        <v>2702</v>
      </c>
      <c r="F110" s="228"/>
      <c r="G110" s="231"/>
      <c r="H110" s="234"/>
      <c r="I110" s="205"/>
      <c r="J110" s="205"/>
      <c r="K110" s="204"/>
      <c r="L110" s="205"/>
      <c r="M110" s="205"/>
      <c r="N110" s="205"/>
      <c r="O110" s="205"/>
      <c r="P110" s="205"/>
      <c r="Q110" s="205"/>
      <c r="R110" s="205"/>
      <c r="S110" s="205"/>
      <c r="T110" s="205"/>
      <c r="U110" s="205"/>
      <c r="V110" s="205"/>
      <c r="W110" s="206"/>
      <c r="X110" s="205"/>
      <c r="Y110" s="205"/>
      <c r="Z110" s="205"/>
      <c r="AA110" s="205"/>
      <c r="AB110" s="205"/>
      <c r="AC110" s="205"/>
      <c r="AD110" s="205"/>
      <c r="AE110" s="205"/>
      <c r="AF110" s="204"/>
      <c r="AG110" s="205"/>
      <c r="AH110" s="205"/>
      <c r="AI110" s="205"/>
      <c r="AJ110" s="205"/>
      <c r="AK110" s="205"/>
      <c r="AL110" s="205"/>
      <c r="AM110" s="206">
        <v>1</v>
      </c>
      <c r="AN110" s="205">
        <f t="shared" si="1"/>
        <v>1</v>
      </c>
    </row>
    <row r="111" spans="1:40" ht="34.5" x14ac:dyDescent="0.35">
      <c r="A111" s="203" t="s">
        <v>2058</v>
      </c>
      <c r="B111" s="203" t="s">
        <v>2370</v>
      </c>
      <c r="C111" s="203" t="s">
        <v>736</v>
      </c>
      <c r="D111" s="203"/>
      <c r="E111" s="203" t="s">
        <v>2699</v>
      </c>
      <c r="F111" s="228"/>
      <c r="G111" s="231"/>
      <c r="H111" s="234"/>
      <c r="I111" s="205"/>
      <c r="J111" s="205"/>
      <c r="K111" s="204"/>
      <c r="L111" s="205"/>
      <c r="M111" s="205"/>
      <c r="N111" s="205"/>
      <c r="O111" s="205"/>
      <c r="P111" s="205"/>
      <c r="Q111" s="205"/>
      <c r="R111" s="205"/>
      <c r="S111" s="205"/>
      <c r="T111" s="205"/>
      <c r="U111" s="205"/>
      <c r="V111" s="205"/>
      <c r="W111" s="206"/>
      <c r="X111" s="205"/>
      <c r="Y111" s="205"/>
      <c r="Z111" s="205"/>
      <c r="AA111" s="205"/>
      <c r="AB111" s="205"/>
      <c r="AC111" s="205"/>
      <c r="AD111" s="205"/>
      <c r="AE111" s="205"/>
      <c r="AF111" s="204"/>
      <c r="AG111" s="205"/>
      <c r="AH111" s="205"/>
      <c r="AI111" s="205"/>
      <c r="AJ111" s="205"/>
      <c r="AK111" s="205"/>
      <c r="AL111" s="205"/>
      <c r="AM111" s="206">
        <v>1</v>
      </c>
      <c r="AN111" s="205">
        <f t="shared" si="1"/>
        <v>1</v>
      </c>
    </row>
    <row r="112" spans="1:40" ht="46" x14ac:dyDescent="0.35">
      <c r="A112" s="203" t="s">
        <v>2058</v>
      </c>
      <c r="B112" s="203" t="s">
        <v>704</v>
      </c>
      <c r="C112" s="203" t="s">
        <v>131</v>
      </c>
      <c r="D112" s="203">
        <v>0</v>
      </c>
      <c r="E112" s="203" t="s">
        <v>705</v>
      </c>
      <c r="F112" s="228"/>
      <c r="G112" s="231"/>
      <c r="H112" s="234"/>
      <c r="I112" s="205"/>
      <c r="J112" s="205"/>
      <c r="K112" s="204"/>
      <c r="L112" s="205"/>
      <c r="M112" s="205"/>
      <c r="N112" s="205"/>
      <c r="O112" s="205"/>
      <c r="P112" s="205"/>
      <c r="Q112" s="205"/>
      <c r="R112" s="205"/>
      <c r="S112" s="205"/>
      <c r="T112" s="205"/>
      <c r="U112" s="205"/>
      <c r="V112" s="205"/>
      <c r="W112" s="206"/>
      <c r="X112" s="205"/>
      <c r="Y112" s="205"/>
      <c r="Z112" s="205"/>
      <c r="AA112" s="205"/>
      <c r="AB112" s="205"/>
      <c r="AC112" s="205"/>
      <c r="AD112" s="205"/>
      <c r="AE112" s="205"/>
      <c r="AF112" s="204"/>
      <c r="AG112" s="205"/>
      <c r="AH112" s="205">
        <v>1</v>
      </c>
      <c r="AI112" s="205"/>
      <c r="AJ112" s="205"/>
      <c r="AK112" s="205"/>
      <c r="AL112" s="205"/>
      <c r="AM112" s="206"/>
      <c r="AN112" s="205">
        <f t="shared" si="1"/>
        <v>1</v>
      </c>
    </row>
    <row r="113" spans="1:40" ht="23" x14ac:dyDescent="0.35">
      <c r="A113" s="203" t="s">
        <v>2058</v>
      </c>
      <c r="B113" s="203" t="s">
        <v>1873</v>
      </c>
      <c r="C113" s="203" t="s">
        <v>131</v>
      </c>
      <c r="D113" s="203">
        <v>800</v>
      </c>
      <c r="E113" s="203" t="s">
        <v>1874</v>
      </c>
      <c r="F113" s="228">
        <v>1</v>
      </c>
      <c r="G113" s="231"/>
      <c r="H113" s="234">
        <v>1</v>
      </c>
      <c r="I113" s="205"/>
      <c r="J113" s="205"/>
      <c r="K113" s="204"/>
      <c r="L113" s="205"/>
      <c r="M113" s="205"/>
      <c r="N113" s="205"/>
      <c r="O113" s="205"/>
      <c r="P113" s="205"/>
      <c r="Q113" s="205"/>
      <c r="R113" s="205"/>
      <c r="S113" s="205"/>
      <c r="T113" s="205"/>
      <c r="U113" s="205"/>
      <c r="V113" s="205"/>
      <c r="W113" s="206"/>
      <c r="X113" s="205"/>
      <c r="Y113" s="205"/>
      <c r="Z113" s="205"/>
      <c r="AA113" s="205"/>
      <c r="AB113" s="205"/>
      <c r="AC113" s="205" t="s">
        <v>12</v>
      </c>
      <c r="AD113" s="205"/>
      <c r="AE113" s="205"/>
      <c r="AF113" s="204"/>
      <c r="AG113" s="205"/>
      <c r="AH113" s="205"/>
      <c r="AI113" s="205">
        <v>1</v>
      </c>
      <c r="AJ113" s="205"/>
      <c r="AK113" s="205"/>
      <c r="AL113" s="205"/>
      <c r="AM113" s="206"/>
      <c r="AN113" s="205">
        <f t="shared" si="1"/>
        <v>1</v>
      </c>
    </row>
    <row r="114" spans="1:40" ht="23" x14ac:dyDescent="0.35">
      <c r="A114" s="203" t="s">
        <v>2058</v>
      </c>
      <c r="B114" s="203" t="s">
        <v>693</v>
      </c>
      <c r="C114" s="203" t="s">
        <v>131</v>
      </c>
      <c r="D114" s="203">
        <v>800</v>
      </c>
      <c r="E114" s="203" t="s">
        <v>1855</v>
      </c>
      <c r="F114" s="228"/>
      <c r="G114" s="231"/>
      <c r="H114" s="234"/>
      <c r="I114" s="205"/>
      <c r="J114" s="205"/>
      <c r="K114" s="204"/>
      <c r="L114" s="205"/>
      <c r="M114" s="205"/>
      <c r="N114" s="205"/>
      <c r="O114" s="205"/>
      <c r="P114" s="205"/>
      <c r="Q114" s="205"/>
      <c r="R114" s="205"/>
      <c r="S114" s="205"/>
      <c r="T114" s="205"/>
      <c r="U114" s="205"/>
      <c r="V114" s="205"/>
      <c r="W114" s="206"/>
      <c r="X114" s="205"/>
      <c r="Y114" s="205"/>
      <c r="Z114" s="205"/>
      <c r="AA114" s="205"/>
      <c r="AB114" s="205"/>
      <c r="AC114" s="205"/>
      <c r="AD114" s="205"/>
      <c r="AE114" s="205"/>
      <c r="AF114" s="204"/>
      <c r="AG114" s="205"/>
      <c r="AH114" s="205"/>
      <c r="AI114" s="205"/>
      <c r="AJ114" s="205">
        <v>2</v>
      </c>
      <c r="AK114" s="205"/>
      <c r="AL114" s="205"/>
      <c r="AM114" s="206"/>
      <c r="AN114" s="205">
        <f t="shared" si="1"/>
        <v>2</v>
      </c>
    </row>
    <row r="115" spans="1:40" ht="23" x14ac:dyDescent="0.35">
      <c r="A115" s="203" t="s">
        <v>2058</v>
      </c>
      <c r="B115" s="203" t="s">
        <v>696</v>
      </c>
      <c r="C115" s="203" t="s">
        <v>131</v>
      </c>
      <c r="D115" s="203">
        <v>600</v>
      </c>
      <c r="E115" s="203" t="s">
        <v>697</v>
      </c>
      <c r="F115" s="228">
        <v>1</v>
      </c>
      <c r="G115" s="231"/>
      <c r="H115" s="234"/>
      <c r="I115" s="205"/>
      <c r="J115" s="205"/>
      <c r="K115" s="204"/>
      <c r="L115" s="205"/>
      <c r="M115" s="205"/>
      <c r="N115" s="205"/>
      <c r="O115" s="205"/>
      <c r="P115" s="205"/>
      <c r="Q115" s="205"/>
      <c r="R115" s="205"/>
      <c r="S115" s="205"/>
      <c r="T115" s="205"/>
      <c r="U115" s="205"/>
      <c r="V115" s="205"/>
      <c r="W115" s="206"/>
      <c r="X115" s="205"/>
      <c r="Y115" s="205"/>
      <c r="Z115" s="205"/>
      <c r="AA115" s="205"/>
      <c r="AB115" s="205"/>
      <c r="AC115" s="205" t="s">
        <v>12</v>
      </c>
      <c r="AD115" s="205"/>
      <c r="AE115" s="205"/>
      <c r="AF115" s="204"/>
      <c r="AG115" s="205">
        <v>1</v>
      </c>
      <c r="AH115" s="205"/>
      <c r="AI115" s="205"/>
      <c r="AJ115" s="205"/>
      <c r="AK115" s="205"/>
      <c r="AL115" s="205"/>
      <c r="AM115" s="206"/>
      <c r="AN115" s="205">
        <f t="shared" si="1"/>
        <v>1</v>
      </c>
    </row>
    <row r="116" spans="1:40" ht="23" x14ac:dyDescent="0.35">
      <c r="A116" s="203" t="s">
        <v>2058</v>
      </c>
      <c r="B116" s="203" t="s">
        <v>680</v>
      </c>
      <c r="C116" s="203" t="s">
        <v>131</v>
      </c>
      <c r="D116" s="203">
        <v>1000</v>
      </c>
      <c r="E116" s="203" t="s">
        <v>569</v>
      </c>
      <c r="F116" s="228">
        <v>1</v>
      </c>
      <c r="G116" s="231">
        <v>1</v>
      </c>
      <c r="H116" s="234"/>
      <c r="I116" s="205"/>
      <c r="J116" s="205"/>
      <c r="K116" s="204"/>
      <c r="L116" s="205"/>
      <c r="M116" s="205"/>
      <c r="N116" s="205"/>
      <c r="O116" s="205"/>
      <c r="P116" s="205"/>
      <c r="Q116" s="205"/>
      <c r="R116" s="205"/>
      <c r="S116" s="205"/>
      <c r="T116" s="205"/>
      <c r="U116" s="205"/>
      <c r="V116" s="205"/>
      <c r="W116" s="206"/>
      <c r="X116" s="205"/>
      <c r="Y116" s="205"/>
      <c r="Z116" s="205"/>
      <c r="AA116" s="205"/>
      <c r="AB116" s="205"/>
      <c r="AC116" s="205"/>
      <c r="AD116" s="205"/>
      <c r="AE116" s="205"/>
      <c r="AF116" s="204">
        <v>1</v>
      </c>
      <c r="AG116" s="205"/>
      <c r="AH116" s="205"/>
      <c r="AI116" s="205"/>
      <c r="AJ116" s="205"/>
      <c r="AK116" s="205"/>
      <c r="AL116" s="205"/>
      <c r="AM116" s="206"/>
      <c r="AN116" s="205">
        <f t="shared" si="1"/>
        <v>1</v>
      </c>
    </row>
    <row r="117" spans="1:40" ht="34.5" x14ac:dyDescent="0.35">
      <c r="A117" s="203" t="s">
        <v>2058</v>
      </c>
      <c r="B117" s="203" t="s">
        <v>709</v>
      </c>
      <c r="C117" s="203" t="s">
        <v>131</v>
      </c>
      <c r="D117" s="203">
        <v>1000</v>
      </c>
      <c r="E117" s="203" t="s">
        <v>710</v>
      </c>
      <c r="F117" s="228"/>
      <c r="G117" s="231"/>
      <c r="H117" s="234"/>
      <c r="I117" s="205"/>
      <c r="J117" s="205"/>
      <c r="K117" s="204"/>
      <c r="L117" s="205"/>
      <c r="M117" s="205"/>
      <c r="N117" s="205"/>
      <c r="O117" s="205"/>
      <c r="P117" s="205"/>
      <c r="Q117" s="205"/>
      <c r="R117" s="205"/>
      <c r="S117" s="205"/>
      <c r="T117" s="205"/>
      <c r="U117" s="205"/>
      <c r="V117" s="205"/>
      <c r="W117" s="206"/>
      <c r="X117" s="205"/>
      <c r="Y117" s="205"/>
      <c r="Z117" s="205" t="s">
        <v>12</v>
      </c>
      <c r="AA117" s="205"/>
      <c r="AB117" s="205"/>
      <c r="AC117" s="205"/>
      <c r="AD117" s="205"/>
      <c r="AE117" s="205"/>
      <c r="AF117" s="204">
        <v>1</v>
      </c>
      <c r="AG117" s="205"/>
      <c r="AH117" s="205"/>
      <c r="AI117" s="205"/>
      <c r="AJ117" s="205"/>
      <c r="AK117" s="205"/>
      <c r="AL117" s="205"/>
      <c r="AM117" s="206"/>
      <c r="AN117" s="205">
        <f t="shared" si="1"/>
        <v>1</v>
      </c>
    </row>
    <row r="118" spans="1:40" ht="23" x14ac:dyDescent="0.35">
      <c r="A118" s="203" t="s">
        <v>2058</v>
      </c>
      <c r="B118" s="203" t="s">
        <v>679</v>
      </c>
      <c r="C118" s="203" t="s">
        <v>131</v>
      </c>
      <c r="D118" s="203">
        <v>600</v>
      </c>
      <c r="E118" s="211" t="s">
        <v>1889</v>
      </c>
      <c r="F118" s="228">
        <v>1</v>
      </c>
      <c r="G118" s="231"/>
      <c r="H118" s="234"/>
      <c r="I118" s="205"/>
      <c r="J118" s="205"/>
      <c r="K118" s="204"/>
      <c r="L118" s="205"/>
      <c r="M118" s="205"/>
      <c r="N118" s="205"/>
      <c r="O118" s="205"/>
      <c r="P118" s="205"/>
      <c r="Q118" s="205"/>
      <c r="R118" s="205"/>
      <c r="S118" s="205"/>
      <c r="T118" s="205"/>
      <c r="U118" s="205"/>
      <c r="V118" s="205"/>
      <c r="W118" s="206"/>
      <c r="X118" s="205"/>
      <c r="Y118" s="205"/>
      <c r="Z118" s="205"/>
      <c r="AA118" s="205"/>
      <c r="AB118" s="205"/>
      <c r="AC118" s="205" t="s">
        <v>12</v>
      </c>
      <c r="AD118" s="205"/>
      <c r="AE118" s="205"/>
      <c r="AF118" s="204">
        <v>1</v>
      </c>
      <c r="AG118" s="205"/>
      <c r="AH118" s="205"/>
      <c r="AI118" s="205"/>
      <c r="AJ118" s="205"/>
      <c r="AK118" s="205"/>
      <c r="AL118" s="205"/>
      <c r="AM118" s="206"/>
      <c r="AN118" s="205">
        <f t="shared" si="1"/>
        <v>1</v>
      </c>
    </row>
    <row r="119" spans="1:40" ht="23" x14ac:dyDescent="0.35">
      <c r="A119" s="203" t="s">
        <v>2058</v>
      </c>
      <c r="B119" s="203" t="s">
        <v>1865</v>
      </c>
      <c r="C119" s="203" t="s">
        <v>131</v>
      </c>
      <c r="D119" s="203">
        <v>1000</v>
      </c>
      <c r="E119" s="203" t="s">
        <v>1864</v>
      </c>
      <c r="F119" s="228"/>
      <c r="G119" s="231"/>
      <c r="H119" s="234">
        <v>1</v>
      </c>
      <c r="I119" s="205"/>
      <c r="J119" s="205"/>
      <c r="K119" s="204"/>
      <c r="L119" s="205"/>
      <c r="M119" s="205"/>
      <c r="N119" s="205"/>
      <c r="O119" s="205"/>
      <c r="P119" s="205"/>
      <c r="Q119" s="205"/>
      <c r="R119" s="205"/>
      <c r="S119" s="205"/>
      <c r="T119" s="205"/>
      <c r="U119" s="205"/>
      <c r="V119" s="205"/>
      <c r="W119" s="206"/>
      <c r="X119" s="205"/>
      <c r="Y119" s="205" t="s">
        <v>12</v>
      </c>
      <c r="Z119" s="205"/>
      <c r="AA119" s="205"/>
      <c r="AB119" s="205"/>
      <c r="AC119" s="205"/>
      <c r="AD119" s="205"/>
      <c r="AE119" s="205"/>
      <c r="AF119" s="204"/>
      <c r="AG119" s="205">
        <v>1</v>
      </c>
      <c r="AH119" s="205"/>
      <c r="AI119" s="205"/>
      <c r="AJ119" s="205"/>
      <c r="AK119" s="205"/>
      <c r="AL119" s="205"/>
      <c r="AM119" s="206"/>
      <c r="AN119" s="205">
        <f t="shared" si="1"/>
        <v>1</v>
      </c>
    </row>
    <row r="120" spans="1:40" ht="23" x14ac:dyDescent="0.35">
      <c r="A120" s="203" t="s">
        <v>2058</v>
      </c>
      <c r="B120" s="203" t="s">
        <v>1894</v>
      </c>
      <c r="C120" s="203" t="s">
        <v>136</v>
      </c>
      <c r="D120" s="203"/>
      <c r="E120" s="203" t="s">
        <v>682</v>
      </c>
      <c r="F120" s="228"/>
      <c r="G120" s="231">
        <v>1</v>
      </c>
      <c r="H120" s="234">
        <v>2</v>
      </c>
      <c r="I120" s="205"/>
      <c r="J120" s="205"/>
      <c r="K120" s="204"/>
      <c r="L120" s="205"/>
      <c r="M120" s="205"/>
      <c r="N120" s="205"/>
      <c r="O120" s="205"/>
      <c r="P120" s="205"/>
      <c r="Q120" s="205"/>
      <c r="R120" s="205"/>
      <c r="S120" s="205"/>
      <c r="T120" s="205"/>
      <c r="U120" s="205"/>
      <c r="V120" s="205"/>
      <c r="W120" s="206"/>
      <c r="X120" s="205"/>
      <c r="Y120" s="205"/>
      <c r="Z120" s="205" t="s">
        <v>12</v>
      </c>
      <c r="AA120" s="205"/>
      <c r="AB120" s="205"/>
      <c r="AC120" s="205"/>
      <c r="AD120" s="205"/>
      <c r="AE120" s="205"/>
      <c r="AF120" s="204"/>
      <c r="AG120" s="205"/>
      <c r="AH120" s="205"/>
      <c r="AI120" s="205"/>
      <c r="AJ120" s="205"/>
      <c r="AK120" s="205"/>
      <c r="AL120" s="205"/>
      <c r="AM120" s="206">
        <v>1</v>
      </c>
      <c r="AN120" s="205">
        <f t="shared" si="1"/>
        <v>1</v>
      </c>
    </row>
    <row r="121" spans="1:40" ht="23" x14ac:dyDescent="0.35">
      <c r="A121" s="203" t="s">
        <v>2058</v>
      </c>
      <c r="B121" s="203" t="s">
        <v>678</v>
      </c>
      <c r="C121" s="203" t="s">
        <v>136</v>
      </c>
      <c r="D121" s="203"/>
      <c r="E121" s="203" t="s">
        <v>1893</v>
      </c>
      <c r="F121" s="228">
        <v>1</v>
      </c>
      <c r="G121" s="231">
        <v>1</v>
      </c>
      <c r="H121" s="234">
        <v>1</v>
      </c>
      <c r="I121" s="205"/>
      <c r="J121" s="205"/>
      <c r="K121" s="204"/>
      <c r="L121" s="205"/>
      <c r="M121" s="205"/>
      <c r="N121" s="205"/>
      <c r="O121" s="205"/>
      <c r="P121" s="205"/>
      <c r="Q121" s="205"/>
      <c r="R121" s="205"/>
      <c r="S121" s="205" t="s">
        <v>12</v>
      </c>
      <c r="T121" s="205"/>
      <c r="U121" s="205"/>
      <c r="V121" s="205"/>
      <c r="W121" s="206"/>
      <c r="X121" s="205"/>
      <c r="Y121" s="205"/>
      <c r="Z121" s="205"/>
      <c r="AA121" s="205"/>
      <c r="AB121" s="205"/>
      <c r="AC121" s="205"/>
      <c r="AD121" s="205"/>
      <c r="AE121" s="205"/>
      <c r="AF121" s="204"/>
      <c r="AG121" s="205"/>
      <c r="AH121" s="205"/>
      <c r="AI121" s="205"/>
      <c r="AJ121" s="205"/>
      <c r="AK121" s="205"/>
      <c r="AL121" s="205"/>
      <c r="AM121" s="206">
        <v>1</v>
      </c>
      <c r="AN121" s="205">
        <f t="shared" si="1"/>
        <v>1</v>
      </c>
    </row>
    <row r="122" spans="1:40" ht="34.5" x14ac:dyDescent="0.35">
      <c r="A122" s="203" t="s">
        <v>2058</v>
      </c>
      <c r="B122" s="203" t="s">
        <v>694</v>
      </c>
      <c r="C122" s="203" t="s">
        <v>5</v>
      </c>
      <c r="D122" s="203">
        <v>600</v>
      </c>
      <c r="E122" s="211" t="s">
        <v>1861</v>
      </c>
      <c r="F122" s="228"/>
      <c r="G122" s="231"/>
      <c r="H122" s="234"/>
      <c r="I122" s="205"/>
      <c r="J122" s="205"/>
      <c r="K122" s="204"/>
      <c r="L122" s="205"/>
      <c r="M122" s="205"/>
      <c r="N122" s="205"/>
      <c r="O122" s="205"/>
      <c r="P122" s="205"/>
      <c r="Q122" s="205"/>
      <c r="R122" s="205"/>
      <c r="S122" s="205"/>
      <c r="T122" s="205"/>
      <c r="U122" s="205"/>
      <c r="V122" s="205"/>
      <c r="W122" s="206"/>
      <c r="X122" s="205"/>
      <c r="Y122" s="205"/>
      <c r="Z122" s="205"/>
      <c r="AA122" s="205"/>
      <c r="AB122" s="205"/>
      <c r="AC122" s="205"/>
      <c r="AD122" s="205"/>
      <c r="AE122" s="205" t="s">
        <v>37</v>
      </c>
      <c r="AF122" s="204"/>
      <c r="AG122" s="205">
        <v>2</v>
      </c>
      <c r="AH122" s="205"/>
      <c r="AI122" s="205"/>
      <c r="AJ122" s="205"/>
      <c r="AK122" s="205"/>
      <c r="AL122" s="205"/>
      <c r="AM122" s="206"/>
      <c r="AN122" s="205">
        <f t="shared" si="1"/>
        <v>2</v>
      </c>
    </row>
    <row r="123" spans="1:40" ht="23" x14ac:dyDescent="0.35">
      <c r="A123" s="203" t="s">
        <v>2058</v>
      </c>
      <c r="B123" s="203" t="s">
        <v>695</v>
      </c>
      <c r="C123" s="203" t="s">
        <v>5</v>
      </c>
      <c r="D123" s="203">
        <v>600</v>
      </c>
      <c r="E123" s="203" t="s">
        <v>1863</v>
      </c>
      <c r="F123" s="228"/>
      <c r="G123" s="231"/>
      <c r="H123" s="234"/>
      <c r="I123" s="205"/>
      <c r="J123" s="205"/>
      <c r="K123" s="204"/>
      <c r="L123" s="205"/>
      <c r="M123" s="205"/>
      <c r="N123" s="205"/>
      <c r="O123" s="205"/>
      <c r="P123" s="205"/>
      <c r="Q123" s="205"/>
      <c r="R123" s="205"/>
      <c r="S123" s="205"/>
      <c r="T123" s="205"/>
      <c r="U123" s="205"/>
      <c r="V123" s="205"/>
      <c r="W123" s="206"/>
      <c r="X123" s="205"/>
      <c r="Y123" s="205"/>
      <c r="Z123" s="205"/>
      <c r="AA123" s="205"/>
      <c r="AB123" s="205"/>
      <c r="AC123" s="205"/>
      <c r="AD123" s="205"/>
      <c r="AE123" s="205"/>
      <c r="AF123" s="204"/>
      <c r="AG123" s="205">
        <v>1</v>
      </c>
      <c r="AH123" s="205"/>
      <c r="AI123" s="205"/>
      <c r="AJ123" s="205"/>
      <c r="AK123" s="205"/>
      <c r="AL123" s="205"/>
      <c r="AM123" s="206"/>
      <c r="AN123" s="205">
        <f t="shared" si="1"/>
        <v>1</v>
      </c>
    </row>
    <row r="124" spans="1:40" ht="46" x14ac:dyDescent="0.35">
      <c r="A124" s="203" t="s">
        <v>2058</v>
      </c>
      <c r="B124" s="203" t="s">
        <v>691</v>
      </c>
      <c r="C124" s="203" t="s">
        <v>5</v>
      </c>
      <c r="D124" s="203">
        <v>800</v>
      </c>
      <c r="E124" s="203" t="s">
        <v>1851</v>
      </c>
      <c r="F124" s="228"/>
      <c r="G124" s="231"/>
      <c r="H124" s="234"/>
      <c r="I124" s="205"/>
      <c r="J124" s="205"/>
      <c r="K124" s="204"/>
      <c r="L124" s="205"/>
      <c r="M124" s="205"/>
      <c r="N124" s="205"/>
      <c r="O124" s="205"/>
      <c r="P124" s="205"/>
      <c r="Q124" s="205"/>
      <c r="R124" s="205"/>
      <c r="S124" s="205"/>
      <c r="T124" s="205"/>
      <c r="U124" s="205"/>
      <c r="V124" s="205"/>
      <c r="W124" s="206"/>
      <c r="X124" s="205"/>
      <c r="Y124" s="205"/>
      <c r="Z124" s="205"/>
      <c r="AA124" s="205"/>
      <c r="AB124" s="205"/>
      <c r="AC124" s="205"/>
      <c r="AD124" s="205"/>
      <c r="AE124" s="205"/>
      <c r="AF124" s="204"/>
      <c r="AG124" s="205"/>
      <c r="AH124" s="205"/>
      <c r="AI124" s="205"/>
      <c r="AJ124" s="205">
        <v>2</v>
      </c>
      <c r="AK124" s="205"/>
      <c r="AL124" s="205"/>
      <c r="AM124" s="206"/>
      <c r="AN124" s="205">
        <f t="shared" si="1"/>
        <v>2</v>
      </c>
    </row>
    <row r="125" spans="1:40" ht="23" x14ac:dyDescent="0.35">
      <c r="A125" s="203" t="s">
        <v>2058</v>
      </c>
      <c r="B125" s="203" t="s">
        <v>674</v>
      </c>
      <c r="C125" s="203" t="s">
        <v>5</v>
      </c>
      <c r="D125" s="203">
        <v>600</v>
      </c>
      <c r="E125" s="211" t="s">
        <v>1891</v>
      </c>
      <c r="F125" s="228"/>
      <c r="G125" s="231"/>
      <c r="H125" s="234"/>
      <c r="I125" s="205"/>
      <c r="J125" s="205"/>
      <c r="K125" s="204"/>
      <c r="L125" s="205"/>
      <c r="M125" s="205"/>
      <c r="N125" s="205"/>
      <c r="O125" s="205"/>
      <c r="P125" s="205"/>
      <c r="Q125" s="205"/>
      <c r="R125" s="205"/>
      <c r="S125" s="205"/>
      <c r="T125" s="205"/>
      <c r="U125" s="205"/>
      <c r="V125" s="205"/>
      <c r="W125" s="206"/>
      <c r="X125" s="205"/>
      <c r="Y125" s="205"/>
      <c r="Z125" s="205"/>
      <c r="AA125" s="205"/>
      <c r="AB125" s="205"/>
      <c r="AC125" s="205"/>
      <c r="AD125" s="205"/>
      <c r="AE125" s="205"/>
      <c r="AF125" s="204">
        <v>2</v>
      </c>
      <c r="AG125" s="205"/>
      <c r="AH125" s="205"/>
      <c r="AI125" s="205"/>
      <c r="AJ125" s="205"/>
      <c r="AK125" s="205"/>
      <c r="AL125" s="205"/>
      <c r="AM125" s="206"/>
      <c r="AN125" s="205">
        <f t="shared" si="1"/>
        <v>2</v>
      </c>
    </row>
    <row r="126" spans="1:40" ht="34.5" x14ac:dyDescent="0.35">
      <c r="A126" s="203" t="s">
        <v>2058</v>
      </c>
      <c r="B126" s="203" t="s">
        <v>673</v>
      </c>
      <c r="C126" s="203" t="s">
        <v>5</v>
      </c>
      <c r="D126" s="203">
        <v>800</v>
      </c>
      <c r="E126" s="211" t="s">
        <v>1878</v>
      </c>
      <c r="F126" s="228"/>
      <c r="G126" s="231"/>
      <c r="H126" s="234"/>
      <c r="I126" s="205"/>
      <c r="J126" s="205"/>
      <c r="K126" s="204"/>
      <c r="L126" s="205"/>
      <c r="M126" s="205"/>
      <c r="N126" s="205"/>
      <c r="O126" s="205"/>
      <c r="P126" s="205"/>
      <c r="Q126" s="205"/>
      <c r="R126" s="205"/>
      <c r="S126" s="205"/>
      <c r="T126" s="205"/>
      <c r="U126" s="205"/>
      <c r="V126" s="205"/>
      <c r="W126" s="206"/>
      <c r="X126" s="205"/>
      <c r="Y126" s="205"/>
      <c r="Z126" s="205"/>
      <c r="AA126" s="205"/>
      <c r="AB126" s="205"/>
      <c r="AC126" s="205"/>
      <c r="AD126" s="205"/>
      <c r="AE126" s="205"/>
      <c r="AF126" s="204"/>
      <c r="AG126" s="205"/>
      <c r="AH126" s="205"/>
      <c r="AI126" s="205">
        <v>1</v>
      </c>
      <c r="AJ126" s="205"/>
      <c r="AK126" s="205"/>
      <c r="AL126" s="205"/>
      <c r="AM126" s="206"/>
      <c r="AN126" s="205">
        <f t="shared" si="1"/>
        <v>1</v>
      </c>
    </row>
    <row r="127" spans="1:40" ht="23" x14ac:dyDescent="0.35">
      <c r="A127" s="203" t="s">
        <v>2652</v>
      </c>
      <c r="B127" s="203" t="s">
        <v>2687</v>
      </c>
      <c r="C127" s="203" t="s">
        <v>8</v>
      </c>
      <c r="D127" s="203">
        <v>300</v>
      </c>
      <c r="E127" s="203" t="s">
        <v>2688</v>
      </c>
      <c r="F127" s="228"/>
      <c r="G127" s="231">
        <v>1</v>
      </c>
      <c r="H127" s="234">
        <v>2</v>
      </c>
      <c r="I127" s="205"/>
      <c r="J127" s="205"/>
      <c r="K127" s="204" t="s">
        <v>12</v>
      </c>
      <c r="L127" s="205"/>
      <c r="M127" s="205"/>
      <c r="N127" s="205" t="s">
        <v>12</v>
      </c>
      <c r="O127" s="205"/>
      <c r="P127" s="205"/>
      <c r="Q127" s="205"/>
      <c r="R127" s="205"/>
      <c r="S127" s="205"/>
      <c r="T127" s="205"/>
      <c r="U127" s="205"/>
      <c r="V127" s="205"/>
      <c r="W127" s="206"/>
      <c r="X127" s="205"/>
      <c r="Y127" s="205"/>
      <c r="Z127" s="205"/>
      <c r="AA127" s="205"/>
      <c r="AB127" s="205"/>
      <c r="AC127" s="205"/>
      <c r="AD127" s="205"/>
      <c r="AE127" s="205"/>
      <c r="AF127" s="204">
        <v>1</v>
      </c>
      <c r="AG127" s="205"/>
      <c r="AH127" s="205"/>
      <c r="AI127" s="205"/>
      <c r="AJ127" s="205"/>
      <c r="AK127" s="205"/>
      <c r="AL127" s="205"/>
      <c r="AM127" s="206"/>
      <c r="AN127" s="205">
        <f t="shared" si="1"/>
        <v>1</v>
      </c>
    </row>
    <row r="128" spans="1:40" ht="23" x14ac:dyDescent="0.35">
      <c r="A128" s="203" t="s">
        <v>2652</v>
      </c>
      <c r="B128" s="203" t="s">
        <v>2676</v>
      </c>
      <c r="C128" s="203" t="s">
        <v>8</v>
      </c>
      <c r="D128" s="203">
        <v>300</v>
      </c>
      <c r="E128" s="203" t="s">
        <v>2677</v>
      </c>
      <c r="F128" s="228"/>
      <c r="G128" s="231">
        <v>1</v>
      </c>
      <c r="H128" s="234">
        <v>2</v>
      </c>
      <c r="I128" s="205"/>
      <c r="J128" s="205"/>
      <c r="K128" s="204" t="s">
        <v>12</v>
      </c>
      <c r="L128" s="205"/>
      <c r="M128" s="205"/>
      <c r="N128" s="205" t="s">
        <v>12</v>
      </c>
      <c r="O128" s="205"/>
      <c r="P128" s="205"/>
      <c r="Q128" s="205"/>
      <c r="R128" s="205"/>
      <c r="S128" s="205"/>
      <c r="T128" s="205"/>
      <c r="U128" s="205"/>
      <c r="V128" s="205"/>
      <c r="W128" s="206"/>
      <c r="X128" s="205"/>
      <c r="Y128" s="205"/>
      <c r="Z128" s="205"/>
      <c r="AA128" s="205"/>
      <c r="AB128" s="205"/>
      <c r="AC128" s="205"/>
      <c r="AD128" s="205"/>
      <c r="AE128" s="205"/>
      <c r="AF128" s="204"/>
      <c r="AG128" s="205"/>
      <c r="AH128" s="205"/>
      <c r="AI128" s="205">
        <v>1</v>
      </c>
      <c r="AJ128" s="205"/>
      <c r="AK128" s="205"/>
      <c r="AL128" s="205"/>
      <c r="AM128" s="206"/>
      <c r="AN128" s="205">
        <f t="shared" si="1"/>
        <v>1</v>
      </c>
    </row>
    <row r="129" spans="1:40" ht="23" x14ac:dyDescent="0.35">
      <c r="A129" s="203" t="s">
        <v>2652</v>
      </c>
      <c r="B129" s="203" t="s">
        <v>2671</v>
      </c>
      <c r="C129" s="203" t="s">
        <v>8</v>
      </c>
      <c r="D129" s="203">
        <v>200</v>
      </c>
      <c r="E129" s="203" t="s">
        <v>2672</v>
      </c>
      <c r="F129" s="228"/>
      <c r="G129" s="231"/>
      <c r="H129" s="234">
        <v>1</v>
      </c>
      <c r="I129" s="205"/>
      <c r="J129" s="205" t="s">
        <v>12</v>
      </c>
      <c r="K129" s="204"/>
      <c r="L129" s="205"/>
      <c r="M129" s="205"/>
      <c r="N129" s="205"/>
      <c r="O129" s="205"/>
      <c r="P129" s="205"/>
      <c r="Q129" s="205"/>
      <c r="R129" s="205" t="s">
        <v>12</v>
      </c>
      <c r="S129" s="205"/>
      <c r="T129" s="205"/>
      <c r="U129" s="205"/>
      <c r="V129" s="205"/>
      <c r="W129" s="206"/>
      <c r="X129" s="205"/>
      <c r="Y129" s="205"/>
      <c r="Z129" s="205"/>
      <c r="AA129" s="205"/>
      <c r="AB129" s="205"/>
      <c r="AC129" s="205"/>
      <c r="AD129" s="205"/>
      <c r="AE129" s="205"/>
      <c r="AF129" s="204"/>
      <c r="AG129" s="205">
        <v>1</v>
      </c>
      <c r="AH129" s="205"/>
      <c r="AI129" s="205"/>
      <c r="AJ129" s="205"/>
      <c r="AK129" s="205"/>
      <c r="AL129" s="205"/>
      <c r="AM129" s="206"/>
      <c r="AN129" s="205">
        <f t="shared" si="1"/>
        <v>1</v>
      </c>
    </row>
    <row r="130" spans="1:40" ht="23" x14ac:dyDescent="0.35">
      <c r="A130" s="203" t="s">
        <v>2652</v>
      </c>
      <c r="B130" s="203" t="s">
        <v>2653</v>
      </c>
      <c r="C130" s="203" t="s">
        <v>8</v>
      </c>
      <c r="D130" s="203">
        <v>300</v>
      </c>
      <c r="E130" s="203" t="s">
        <v>2656</v>
      </c>
      <c r="F130" s="228"/>
      <c r="G130" s="231">
        <v>1</v>
      </c>
      <c r="H130" s="234">
        <v>2</v>
      </c>
      <c r="I130" s="205"/>
      <c r="J130" s="205"/>
      <c r="K130" s="204" t="s">
        <v>12</v>
      </c>
      <c r="L130" s="205"/>
      <c r="M130" s="205"/>
      <c r="N130" s="205" t="s">
        <v>12</v>
      </c>
      <c r="O130" s="205"/>
      <c r="P130" s="205"/>
      <c r="Q130" s="205"/>
      <c r="R130" s="205"/>
      <c r="S130" s="205"/>
      <c r="T130" s="205"/>
      <c r="U130" s="205"/>
      <c r="V130" s="205"/>
      <c r="W130" s="206"/>
      <c r="X130" s="205"/>
      <c r="Y130" s="205"/>
      <c r="Z130" s="205"/>
      <c r="AA130" s="205"/>
      <c r="AB130" s="205"/>
      <c r="AC130" s="205"/>
      <c r="AD130" s="205"/>
      <c r="AE130" s="205"/>
      <c r="AF130" s="204"/>
      <c r="AG130" s="205"/>
      <c r="AH130" s="205"/>
      <c r="AI130" s="205"/>
      <c r="AJ130" s="205"/>
      <c r="AK130" s="205"/>
      <c r="AL130" s="205">
        <v>1</v>
      </c>
      <c r="AM130" s="206"/>
      <c r="AN130" s="205">
        <f t="shared" ref="AN130:AN193" si="2">SUM(AF130:AM130)</f>
        <v>1</v>
      </c>
    </row>
    <row r="131" spans="1:40" ht="23" x14ac:dyDescent="0.35">
      <c r="A131" s="203" t="s">
        <v>2652</v>
      </c>
      <c r="B131" s="203" t="s">
        <v>2682</v>
      </c>
      <c r="C131" s="203" t="s">
        <v>8</v>
      </c>
      <c r="D131" s="203">
        <v>200</v>
      </c>
      <c r="E131" s="203" t="s">
        <v>2672</v>
      </c>
      <c r="F131" s="228"/>
      <c r="G131" s="231"/>
      <c r="H131" s="234">
        <v>1</v>
      </c>
      <c r="I131" s="205" t="s">
        <v>12</v>
      </c>
      <c r="J131" s="205"/>
      <c r="K131" s="204"/>
      <c r="L131" s="205"/>
      <c r="M131" s="205"/>
      <c r="N131" s="205"/>
      <c r="O131" s="205" t="s">
        <v>12</v>
      </c>
      <c r="P131" s="205"/>
      <c r="Q131" s="205"/>
      <c r="R131" s="205"/>
      <c r="S131" s="205"/>
      <c r="T131" s="205"/>
      <c r="U131" s="205"/>
      <c r="V131" s="205"/>
      <c r="W131" s="206"/>
      <c r="X131" s="205"/>
      <c r="Y131" s="205"/>
      <c r="Z131" s="205"/>
      <c r="AA131" s="205"/>
      <c r="AB131" s="205"/>
      <c r="AC131" s="205"/>
      <c r="AD131" s="205"/>
      <c r="AE131" s="205"/>
      <c r="AF131" s="204"/>
      <c r="AG131" s="205"/>
      <c r="AH131" s="205">
        <v>1</v>
      </c>
      <c r="AI131" s="205"/>
      <c r="AJ131" s="205"/>
      <c r="AK131" s="205"/>
      <c r="AL131" s="205"/>
      <c r="AM131" s="206"/>
      <c r="AN131" s="205">
        <f t="shared" si="2"/>
        <v>1</v>
      </c>
    </row>
    <row r="132" spans="1:40" ht="23" x14ac:dyDescent="0.35">
      <c r="A132" s="203" t="s">
        <v>2652</v>
      </c>
      <c r="B132" s="203" t="s">
        <v>2282</v>
      </c>
      <c r="C132" s="203" t="s">
        <v>8</v>
      </c>
      <c r="D132" s="203">
        <v>200</v>
      </c>
      <c r="E132" s="203" t="s">
        <v>2678</v>
      </c>
      <c r="F132" s="228">
        <v>1</v>
      </c>
      <c r="G132" s="231"/>
      <c r="H132" s="234"/>
      <c r="I132" s="205"/>
      <c r="J132" s="205" t="s">
        <v>12</v>
      </c>
      <c r="K132" s="204"/>
      <c r="L132" s="205"/>
      <c r="M132" s="205"/>
      <c r="N132" s="205"/>
      <c r="O132" s="205"/>
      <c r="P132" s="205"/>
      <c r="Q132" s="205"/>
      <c r="R132" s="205" t="s">
        <v>12</v>
      </c>
      <c r="S132" s="205"/>
      <c r="T132" s="205"/>
      <c r="U132" s="205"/>
      <c r="V132" s="205"/>
      <c r="W132" s="206"/>
      <c r="X132" s="205"/>
      <c r="Y132" s="205"/>
      <c r="Z132" s="205"/>
      <c r="AA132" s="205"/>
      <c r="AB132" s="205"/>
      <c r="AC132" s="205"/>
      <c r="AD132" s="205"/>
      <c r="AE132" s="205"/>
      <c r="AF132" s="204"/>
      <c r="AG132" s="205"/>
      <c r="AH132" s="205"/>
      <c r="AI132" s="205">
        <v>1</v>
      </c>
      <c r="AJ132" s="205"/>
      <c r="AK132" s="205"/>
      <c r="AL132" s="205"/>
      <c r="AM132" s="206"/>
      <c r="AN132" s="205">
        <f t="shared" si="2"/>
        <v>1</v>
      </c>
    </row>
    <row r="133" spans="1:40" ht="23" x14ac:dyDescent="0.35">
      <c r="A133" s="203" t="s">
        <v>2652</v>
      </c>
      <c r="B133" s="203" t="s">
        <v>2282</v>
      </c>
      <c r="C133" s="203" t="s">
        <v>8</v>
      </c>
      <c r="D133" s="203">
        <v>200</v>
      </c>
      <c r="E133" s="203" t="s">
        <v>2678</v>
      </c>
      <c r="F133" s="228">
        <v>1</v>
      </c>
      <c r="G133" s="231"/>
      <c r="H133" s="234"/>
      <c r="I133" s="205" t="s">
        <v>12</v>
      </c>
      <c r="J133" s="205"/>
      <c r="K133" s="204"/>
      <c r="L133" s="205"/>
      <c r="M133" s="205"/>
      <c r="N133" s="205"/>
      <c r="O133" s="205" t="s">
        <v>12</v>
      </c>
      <c r="P133" s="205"/>
      <c r="Q133" s="205"/>
      <c r="R133" s="205"/>
      <c r="S133" s="205"/>
      <c r="T133" s="205"/>
      <c r="U133" s="205"/>
      <c r="V133" s="205"/>
      <c r="W133" s="206"/>
      <c r="X133" s="205"/>
      <c r="Y133" s="205"/>
      <c r="Z133" s="205"/>
      <c r="AA133" s="205"/>
      <c r="AB133" s="205"/>
      <c r="AC133" s="205"/>
      <c r="AD133" s="205"/>
      <c r="AE133" s="205"/>
      <c r="AF133" s="204"/>
      <c r="AG133" s="205"/>
      <c r="AH133" s="205">
        <v>1</v>
      </c>
      <c r="AI133" s="205"/>
      <c r="AJ133" s="205"/>
      <c r="AK133" s="205"/>
      <c r="AL133" s="205"/>
      <c r="AM133" s="206"/>
      <c r="AN133" s="205">
        <f t="shared" si="2"/>
        <v>1</v>
      </c>
    </row>
    <row r="134" spans="1:40" ht="23" x14ac:dyDescent="0.35">
      <c r="A134" s="203" t="s">
        <v>2652</v>
      </c>
      <c r="B134" s="203" t="s">
        <v>2658</v>
      </c>
      <c r="C134" s="203" t="s">
        <v>8</v>
      </c>
      <c r="D134" s="203">
        <v>300</v>
      </c>
      <c r="E134" s="203" t="s">
        <v>2668</v>
      </c>
      <c r="F134" s="228"/>
      <c r="G134" s="231">
        <v>1</v>
      </c>
      <c r="H134" s="234">
        <v>2</v>
      </c>
      <c r="I134" s="205"/>
      <c r="J134" s="205"/>
      <c r="K134" s="204" t="s">
        <v>12</v>
      </c>
      <c r="L134" s="205"/>
      <c r="M134" s="205"/>
      <c r="N134" s="205" t="s">
        <v>12</v>
      </c>
      <c r="O134" s="205"/>
      <c r="P134" s="205"/>
      <c r="Q134" s="205"/>
      <c r="R134" s="205"/>
      <c r="S134" s="205"/>
      <c r="T134" s="205"/>
      <c r="U134" s="205"/>
      <c r="V134" s="205"/>
      <c r="W134" s="206"/>
      <c r="X134" s="205"/>
      <c r="Y134" s="205"/>
      <c r="Z134" s="205"/>
      <c r="AA134" s="205"/>
      <c r="AB134" s="205"/>
      <c r="AC134" s="205"/>
      <c r="AD134" s="205"/>
      <c r="AE134" s="205"/>
      <c r="AF134" s="204"/>
      <c r="AG134" s="205"/>
      <c r="AH134" s="205"/>
      <c r="AI134" s="205"/>
      <c r="AJ134" s="205"/>
      <c r="AK134" s="205">
        <v>1</v>
      </c>
      <c r="AL134" s="205"/>
      <c r="AM134" s="206"/>
      <c r="AN134" s="205">
        <f t="shared" si="2"/>
        <v>1</v>
      </c>
    </row>
    <row r="135" spans="1:40" ht="23" x14ac:dyDescent="0.35">
      <c r="A135" s="203" t="s">
        <v>2652</v>
      </c>
      <c r="B135" s="203" t="s">
        <v>2283</v>
      </c>
      <c r="C135" s="203" t="s">
        <v>8</v>
      </c>
      <c r="D135" s="203">
        <v>300</v>
      </c>
      <c r="E135" s="203" t="s">
        <v>2691</v>
      </c>
      <c r="F135" s="228">
        <v>1</v>
      </c>
      <c r="G135" s="231">
        <v>1</v>
      </c>
      <c r="H135" s="234"/>
      <c r="I135" s="205"/>
      <c r="J135" s="205" t="s">
        <v>12</v>
      </c>
      <c r="K135" s="204"/>
      <c r="L135" s="205"/>
      <c r="M135" s="205"/>
      <c r="N135" s="205"/>
      <c r="O135" s="205"/>
      <c r="P135" s="205"/>
      <c r="Q135" s="205"/>
      <c r="R135" s="205" t="s">
        <v>12</v>
      </c>
      <c r="S135" s="205"/>
      <c r="T135" s="205" t="s">
        <v>12</v>
      </c>
      <c r="U135" s="205"/>
      <c r="V135" s="205"/>
      <c r="W135" s="206"/>
      <c r="X135" s="205"/>
      <c r="Y135" s="205"/>
      <c r="Z135" s="205"/>
      <c r="AA135" s="205"/>
      <c r="AB135" s="205"/>
      <c r="AC135" s="205"/>
      <c r="AD135" s="205"/>
      <c r="AE135" s="205"/>
      <c r="AF135" s="204">
        <v>1</v>
      </c>
      <c r="AG135" s="205"/>
      <c r="AH135" s="205"/>
      <c r="AI135" s="205"/>
      <c r="AJ135" s="205"/>
      <c r="AK135" s="205"/>
      <c r="AL135" s="205"/>
      <c r="AM135" s="206"/>
      <c r="AN135" s="205">
        <f t="shared" si="2"/>
        <v>1</v>
      </c>
    </row>
    <row r="136" spans="1:40" ht="23" x14ac:dyDescent="0.35">
      <c r="A136" s="203" t="s">
        <v>2652</v>
      </c>
      <c r="B136" s="203" t="s">
        <v>2683</v>
      </c>
      <c r="C136" s="203" t="s">
        <v>8</v>
      </c>
      <c r="D136" s="203">
        <v>300</v>
      </c>
      <c r="E136" s="203" t="s">
        <v>2684</v>
      </c>
      <c r="F136" s="228"/>
      <c r="G136" s="231">
        <v>1</v>
      </c>
      <c r="H136" s="234">
        <v>2</v>
      </c>
      <c r="I136" s="205"/>
      <c r="J136" s="205"/>
      <c r="K136" s="204" t="s">
        <v>12</v>
      </c>
      <c r="L136" s="205"/>
      <c r="M136" s="205"/>
      <c r="N136" s="205" t="s">
        <v>12</v>
      </c>
      <c r="O136" s="205"/>
      <c r="P136" s="205"/>
      <c r="Q136" s="205"/>
      <c r="R136" s="205"/>
      <c r="S136" s="205"/>
      <c r="T136" s="205"/>
      <c r="U136" s="205"/>
      <c r="V136" s="205"/>
      <c r="W136" s="206"/>
      <c r="X136" s="205"/>
      <c r="Y136" s="205"/>
      <c r="Z136" s="205"/>
      <c r="AA136" s="205"/>
      <c r="AB136" s="205"/>
      <c r="AC136" s="205"/>
      <c r="AD136" s="205"/>
      <c r="AE136" s="205"/>
      <c r="AF136" s="204"/>
      <c r="AG136" s="205"/>
      <c r="AH136" s="205">
        <v>1</v>
      </c>
      <c r="AI136" s="205"/>
      <c r="AJ136" s="205"/>
      <c r="AK136" s="205"/>
      <c r="AL136" s="205"/>
      <c r="AM136" s="206"/>
      <c r="AN136" s="205">
        <f t="shared" si="2"/>
        <v>1</v>
      </c>
    </row>
    <row r="137" spans="1:40" ht="23" x14ac:dyDescent="0.35">
      <c r="A137" s="203" t="s">
        <v>2652</v>
      </c>
      <c r="B137" s="203" t="s">
        <v>2669</v>
      </c>
      <c r="C137" s="203" t="s">
        <v>8</v>
      </c>
      <c r="D137" s="203">
        <v>300</v>
      </c>
      <c r="E137" s="203" t="s">
        <v>2670</v>
      </c>
      <c r="F137" s="228"/>
      <c r="G137" s="231">
        <v>1</v>
      </c>
      <c r="H137" s="234">
        <v>2</v>
      </c>
      <c r="I137" s="205"/>
      <c r="J137" s="205"/>
      <c r="K137" s="204" t="s">
        <v>12</v>
      </c>
      <c r="L137" s="205"/>
      <c r="M137" s="205"/>
      <c r="N137" s="205" t="s">
        <v>12</v>
      </c>
      <c r="O137" s="205"/>
      <c r="P137" s="205"/>
      <c r="Q137" s="205"/>
      <c r="R137" s="205"/>
      <c r="S137" s="205"/>
      <c r="T137" s="205"/>
      <c r="U137" s="205"/>
      <c r="V137" s="205"/>
      <c r="W137" s="206"/>
      <c r="X137" s="205"/>
      <c r="Y137" s="205"/>
      <c r="Z137" s="205"/>
      <c r="AA137" s="205"/>
      <c r="AB137" s="205"/>
      <c r="AC137" s="205"/>
      <c r="AD137" s="205"/>
      <c r="AE137" s="205"/>
      <c r="AF137" s="204"/>
      <c r="AG137" s="205"/>
      <c r="AH137" s="205"/>
      <c r="AI137" s="205"/>
      <c r="AJ137" s="205">
        <v>1</v>
      </c>
      <c r="AK137" s="205"/>
      <c r="AL137" s="205"/>
      <c r="AM137" s="206"/>
      <c r="AN137" s="205">
        <f t="shared" si="2"/>
        <v>1</v>
      </c>
    </row>
    <row r="138" spans="1:40" ht="34.5" x14ac:dyDescent="0.35">
      <c r="A138" s="203" t="s">
        <v>2652</v>
      </c>
      <c r="B138" s="203" t="s">
        <v>2703</v>
      </c>
      <c r="C138" s="203" t="s">
        <v>736</v>
      </c>
      <c r="D138" s="203"/>
      <c r="E138" s="203" t="s">
        <v>2704</v>
      </c>
      <c r="F138" s="228"/>
      <c r="G138" s="231"/>
      <c r="H138" s="234"/>
      <c r="I138" s="205"/>
      <c r="J138" s="205"/>
      <c r="K138" s="204"/>
      <c r="L138" s="205"/>
      <c r="M138" s="205"/>
      <c r="N138" s="205"/>
      <c r="O138" s="205"/>
      <c r="P138" s="205"/>
      <c r="Q138" s="205"/>
      <c r="R138" s="205"/>
      <c r="S138" s="205"/>
      <c r="T138" s="205"/>
      <c r="U138" s="205"/>
      <c r="V138" s="205"/>
      <c r="W138" s="206"/>
      <c r="X138" s="205"/>
      <c r="Y138" s="205"/>
      <c r="Z138" s="205"/>
      <c r="AA138" s="205"/>
      <c r="AB138" s="205"/>
      <c r="AC138" s="205"/>
      <c r="AD138" s="205"/>
      <c r="AE138" s="205"/>
      <c r="AF138" s="204"/>
      <c r="AG138" s="205"/>
      <c r="AH138" s="205"/>
      <c r="AI138" s="205"/>
      <c r="AJ138" s="205"/>
      <c r="AK138" s="205"/>
      <c r="AL138" s="205"/>
      <c r="AM138" s="206">
        <v>1</v>
      </c>
      <c r="AN138" s="205">
        <f t="shared" si="2"/>
        <v>1</v>
      </c>
    </row>
    <row r="139" spans="1:40" ht="23" x14ac:dyDescent="0.35">
      <c r="A139" s="203" t="s">
        <v>2652</v>
      </c>
      <c r="B139" s="203" t="s">
        <v>2654</v>
      </c>
      <c r="C139" s="203" t="s">
        <v>131</v>
      </c>
      <c r="D139" s="203">
        <v>400</v>
      </c>
      <c r="E139" s="203" t="s">
        <v>2657</v>
      </c>
      <c r="F139" s="228"/>
      <c r="G139" s="231"/>
      <c r="H139" s="234"/>
      <c r="I139" s="205"/>
      <c r="J139" s="205"/>
      <c r="K139" s="204"/>
      <c r="L139" s="205"/>
      <c r="M139" s="205"/>
      <c r="N139" s="205"/>
      <c r="O139" s="205"/>
      <c r="P139" s="205"/>
      <c r="Q139" s="205"/>
      <c r="R139" s="205"/>
      <c r="S139" s="205"/>
      <c r="T139" s="205"/>
      <c r="U139" s="205"/>
      <c r="V139" s="205"/>
      <c r="W139" s="206"/>
      <c r="X139" s="205"/>
      <c r="Y139" s="205"/>
      <c r="Z139" s="205"/>
      <c r="AA139" s="205"/>
      <c r="AB139" s="205"/>
      <c r="AC139" s="205"/>
      <c r="AD139" s="205"/>
      <c r="AE139" s="205"/>
      <c r="AF139" s="204"/>
      <c r="AG139" s="205"/>
      <c r="AH139" s="205"/>
      <c r="AI139" s="205"/>
      <c r="AJ139" s="205"/>
      <c r="AK139" s="205"/>
      <c r="AL139" s="205">
        <v>1</v>
      </c>
      <c r="AM139" s="206"/>
      <c r="AN139" s="205">
        <f t="shared" si="2"/>
        <v>1</v>
      </c>
    </row>
    <row r="140" spans="1:40" ht="23" x14ac:dyDescent="0.35">
      <c r="A140" s="203" t="s">
        <v>2652</v>
      </c>
      <c r="B140" s="203" t="s">
        <v>2279</v>
      </c>
      <c r="C140" s="203" t="s">
        <v>131</v>
      </c>
      <c r="D140" s="203">
        <v>400</v>
      </c>
      <c r="E140" s="203" t="s">
        <v>2673</v>
      </c>
      <c r="F140" s="228"/>
      <c r="G140" s="231"/>
      <c r="H140" s="234"/>
      <c r="I140" s="205"/>
      <c r="J140" s="205"/>
      <c r="K140" s="204"/>
      <c r="L140" s="205"/>
      <c r="M140" s="205"/>
      <c r="N140" s="205"/>
      <c r="O140" s="205"/>
      <c r="P140" s="205"/>
      <c r="Q140" s="205"/>
      <c r="R140" s="205"/>
      <c r="S140" s="205"/>
      <c r="T140" s="205"/>
      <c r="U140" s="205"/>
      <c r="V140" s="205"/>
      <c r="W140" s="206"/>
      <c r="X140" s="205"/>
      <c r="Y140" s="205"/>
      <c r="Z140" s="205"/>
      <c r="AA140" s="205"/>
      <c r="AB140" s="205"/>
      <c r="AC140" s="205"/>
      <c r="AD140" s="205"/>
      <c r="AE140" s="205"/>
      <c r="AF140" s="204"/>
      <c r="AG140" s="205">
        <v>1</v>
      </c>
      <c r="AH140" s="205"/>
      <c r="AI140" s="205"/>
      <c r="AJ140" s="205"/>
      <c r="AK140" s="205"/>
      <c r="AL140" s="205"/>
      <c r="AM140" s="206"/>
      <c r="AN140" s="205">
        <f t="shared" si="2"/>
        <v>1</v>
      </c>
    </row>
    <row r="141" spans="1:40" ht="23" x14ac:dyDescent="0.35">
      <c r="A141" s="203" t="s">
        <v>2652</v>
      </c>
      <c r="B141" s="203" t="s">
        <v>2659</v>
      </c>
      <c r="C141" s="203" t="s">
        <v>131</v>
      </c>
      <c r="D141" s="203">
        <v>400</v>
      </c>
      <c r="E141" s="203" t="s">
        <v>2657</v>
      </c>
      <c r="F141" s="228"/>
      <c r="G141" s="231"/>
      <c r="H141" s="234"/>
      <c r="I141" s="205"/>
      <c r="J141" s="205"/>
      <c r="K141" s="204"/>
      <c r="L141" s="205"/>
      <c r="M141" s="205"/>
      <c r="N141" s="205"/>
      <c r="O141" s="205"/>
      <c r="P141" s="205"/>
      <c r="Q141" s="205"/>
      <c r="R141" s="205"/>
      <c r="S141" s="205"/>
      <c r="T141" s="205"/>
      <c r="U141" s="205"/>
      <c r="V141" s="205"/>
      <c r="W141" s="206"/>
      <c r="X141" s="205"/>
      <c r="Y141" s="205"/>
      <c r="Z141" s="205"/>
      <c r="AA141" s="205"/>
      <c r="AB141" s="205"/>
      <c r="AC141" s="205"/>
      <c r="AD141" s="205"/>
      <c r="AE141" s="205"/>
      <c r="AF141" s="204"/>
      <c r="AG141" s="205"/>
      <c r="AH141" s="205"/>
      <c r="AI141" s="205"/>
      <c r="AJ141" s="205"/>
      <c r="AK141" s="205">
        <v>1</v>
      </c>
      <c r="AL141" s="205"/>
      <c r="AM141" s="206"/>
      <c r="AN141" s="205">
        <f t="shared" si="2"/>
        <v>1</v>
      </c>
    </row>
    <row r="142" spans="1:40" ht="23" x14ac:dyDescent="0.35">
      <c r="A142" s="203" t="s">
        <v>2652</v>
      </c>
      <c r="B142" s="203" t="s">
        <v>2660</v>
      </c>
      <c r="C142" s="203" t="s">
        <v>131</v>
      </c>
      <c r="D142" s="203">
        <v>600</v>
      </c>
      <c r="E142" s="203" t="s">
        <v>2661</v>
      </c>
      <c r="F142" s="228"/>
      <c r="G142" s="231"/>
      <c r="H142" s="234"/>
      <c r="I142" s="205"/>
      <c r="J142" s="205"/>
      <c r="K142" s="204"/>
      <c r="L142" s="205"/>
      <c r="M142" s="205"/>
      <c r="N142" s="205"/>
      <c r="O142" s="205"/>
      <c r="P142" s="205"/>
      <c r="Q142" s="205"/>
      <c r="R142" s="205"/>
      <c r="S142" s="205"/>
      <c r="T142" s="205"/>
      <c r="U142" s="205"/>
      <c r="V142" s="205"/>
      <c r="W142" s="206"/>
      <c r="X142" s="205"/>
      <c r="Y142" s="205"/>
      <c r="Z142" s="205"/>
      <c r="AA142" s="205"/>
      <c r="AB142" s="205"/>
      <c r="AC142" s="205"/>
      <c r="AD142" s="205"/>
      <c r="AE142" s="205"/>
      <c r="AF142" s="204"/>
      <c r="AG142" s="205"/>
      <c r="AH142" s="205"/>
      <c r="AI142" s="205"/>
      <c r="AJ142" s="205"/>
      <c r="AK142" s="205">
        <v>1</v>
      </c>
      <c r="AL142" s="205"/>
      <c r="AM142" s="206"/>
      <c r="AN142" s="205">
        <f t="shared" si="2"/>
        <v>1</v>
      </c>
    </row>
    <row r="143" spans="1:40" ht="34.5" x14ac:dyDescent="0.35">
      <c r="A143" s="203" t="s">
        <v>2652</v>
      </c>
      <c r="B143" s="203" t="s">
        <v>2685</v>
      </c>
      <c r="C143" s="203" t="s">
        <v>131</v>
      </c>
      <c r="D143" s="203">
        <v>600</v>
      </c>
      <c r="E143" s="203" t="s">
        <v>2686</v>
      </c>
      <c r="F143" s="228"/>
      <c r="G143" s="231"/>
      <c r="H143" s="234"/>
      <c r="I143" s="205"/>
      <c r="J143" s="205"/>
      <c r="K143" s="204"/>
      <c r="L143" s="205"/>
      <c r="M143" s="205"/>
      <c r="N143" s="205"/>
      <c r="O143" s="205"/>
      <c r="P143" s="205"/>
      <c r="Q143" s="205"/>
      <c r="R143" s="205"/>
      <c r="S143" s="205"/>
      <c r="T143" s="205"/>
      <c r="U143" s="205"/>
      <c r="V143" s="205"/>
      <c r="W143" s="206"/>
      <c r="X143" s="205"/>
      <c r="Y143" s="205"/>
      <c r="Z143" s="205"/>
      <c r="AA143" s="205"/>
      <c r="AB143" s="205"/>
      <c r="AC143" s="205"/>
      <c r="AD143" s="205"/>
      <c r="AE143" s="205"/>
      <c r="AF143" s="204"/>
      <c r="AG143" s="205"/>
      <c r="AH143" s="205">
        <v>1</v>
      </c>
      <c r="AI143" s="205"/>
      <c r="AJ143" s="205"/>
      <c r="AK143" s="205"/>
      <c r="AL143" s="205"/>
      <c r="AM143" s="206"/>
      <c r="AN143" s="205">
        <f t="shared" si="2"/>
        <v>1</v>
      </c>
    </row>
    <row r="144" spans="1:40" ht="23" x14ac:dyDescent="0.35">
      <c r="A144" s="203" t="s">
        <v>2652</v>
      </c>
      <c r="B144" s="203" t="s">
        <v>2662</v>
      </c>
      <c r="C144" s="203" t="s">
        <v>5</v>
      </c>
      <c r="D144" s="203">
        <v>1200</v>
      </c>
      <c r="E144" s="211" t="s">
        <v>2665</v>
      </c>
      <c r="F144" s="228"/>
      <c r="G144" s="231"/>
      <c r="H144" s="234"/>
      <c r="I144" s="205"/>
      <c r="J144" s="205"/>
      <c r="K144" s="204"/>
      <c r="L144" s="205"/>
      <c r="M144" s="205"/>
      <c r="N144" s="205"/>
      <c r="O144" s="205"/>
      <c r="P144" s="205"/>
      <c r="Q144" s="205"/>
      <c r="R144" s="205"/>
      <c r="S144" s="205"/>
      <c r="T144" s="205"/>
      <c r="U144" s="205"/>
      <c r="V144" s="205"/>
      <c r="W144" s="206"/>
      <c r="X144" s="205"/>
      <c r="Y144" s="205"/>
      <c r="Z144" s="205"/>
      <c r="AA144" s="205" t="s">
        <v>12</v>
      </c>
      <c r="AB144" s="205" t="s">
        <v>12</v>
      </c>
      <c r="AC144" s="205"/>
      <c r="AD144" s="205"/>
      <c r="AE144" s="205"/>
      <c r="AF144" s="204"/>
      <c r="AG144" s="205"/>
      <c r="AH144" s="205"/>
      <c r="AI144" s="205"/>
      <c r="AJ144" s="205">
        <v>1</v>
      </c>
      <c r="AK144" s="205"/>
      <c r="AL144" s="205"/>
      <c r="AM144" s="206"/>
      <c r="AN144" s="205">
        <f t="shared" si="2"/>
        <v>1</v>
      </c>
    </row>
    <row r="145" spans="1:40" ht="23" x14ac:dyDescent="0.35">
      <c r="A145" s="203" t="s">
        <v>2652</v>
      </c>
      <c r="B145" s="203" t="s">
        <v>2674</v>
      </c>
      <c r="C145" s="203" t="s">
        <v>5</v>
      </c>
      <c r="D145" s="203">
        <v>1600</v>
      </c>
      <c r="E145" s="203" t="s">
        <v>2679</v>
      </c>
      <c r="F145" s="228"/>
      <c r="G145" s="231"/>
      <c r="H145" s="234"/>
      <c r="I145" s="205"/>
      <c r="J145" s="205"/>
      <c r="K145" s="204"/>
      <c r="L145" s="205"/>
      <c r="M145" s="205"/>
      <c r="N145" s="205"/>
      <c r="O145" s="205"/>
      <c r="P145" s="205"/>
      <c r="Q145" s="205"/>
      <c r="R145" s="205"/>
      <c r="S145" s="205"/>
      <c r="T145" s="205"/>
      <c r="U145" s="205"/>
      <c r="V145" s="205"/>
      <c r="W145" s="206"/>
      <c r="X145" s="205"/>
      <c r="Y145" s="205"/>
      <c r="Z145" s="205"/>
      <c r="AA145" s="205" t="s">
        <v>12</v>
      </c>
      <c r="AB145" s="205" t="s">
        <v>12</v>
      </c>
      <c r="AC145" s="205"/>
      <c r="AD145" s="205"/>
      <c r="AE145" s="205"/>
      <c r="AF145" s="204"/>
      <c r="AG145" s="205"/>
      <c r="AH145" s="205"/>
      <c r="AI145" s="205">
        <v>1</v>
      </c>
      <c r="AJ145" s="205"/>
      <c r="AK145" s="205"/>
      <c r="AL145" s="205"/>
      <c r="AM145" s="206"/>
      <c r="AN145" s="205">
        <f t="shared" si="2"/>
        <v>1</v>
      </c>
    </row>
    <row r="146" spans="1:40" ht="23" x14ac:dyDescent="0.35">
      <c r="A146" s="203" t="s">
        <v>2652</v>
      </c>
      <c r="B146" s="203" t="s">
        <v>2663</v>
      </c>
      <c r="C146" s="203" t="s">
        <v>5</v>
      </c>
      <c r="D146" s="203">
        <v>1000</v>
      </c>
      <c r="E146" s="203" t="s">
        <v>2666</v>
      </c>
      <c r="F146" s="228"/>
      <c r="G146" s="231"/>
      <c r="H146" s="234"/>
      <c r="I146" s="205"/>
      <c r="J146" s="205"/>
      <c r="K146" s="204"/>
      <c r="L146" s="205"/>
      <c r="M146" s="205"/>
      <c r="N146" s="205"/>
      <c r="O146" s="205"/>
      <c r="P146" s="205"/>
      <c r="Q146" s="205"/>
      <c r="R146" s="205"/>
      <c r="S146" s="205"/>
      <c r="T146" s="205"/>
      <c r="U146" s="205"/>
      <c r="V146" s="205"/>
      <c r="W146" s="206"/>
      <c r="X146" s="205"/>
      <c r="Y146" s="205"/>
      <c r="Z146" s="205"/>
      <c r="AA146" s="205" t="s">
        <v>12</v>
      </c>
      <c r="AB146" s="205" t="s">
        <v>12</v>
      </c>
      <c r="AC146" s="205"/>
      <c r="AD146" s="205"/>
      <c r="AE146" s="205"/>
      <c r="AF146" s="204"/>
      <c r="AG146" s="205"/>
      <c r="AH146" s="205"/>
      <c r="AI146" s="205"/>
      <c r="AJ146" s="205">
        <v>1</v>
      </c>
      <c r="AK146" s="205"/>
      <c r="AL146" s="205"/>
      <c r="AM146" s="206"/>
      <c r="AN146" s="205">
        <f t="shared" si="2"/>
        <v>1</v>
      </c>
    </row>
    <row r="147" spans="1:40" ht="23" x14ac:dyDescent="0.35">
      <c r="A147" s="203" t="s">
        <v>2652</v>
      </c>
      <c r="B147" s="203" t="s">
        <v>2689</v>
      </c>
      <c r="C147" s="203" t="s">
        <v>5</v>
      </c>
      <c r="D147" s="203">
        <v>1400</v>
      </c>
      <c r="E147" s="203" t="s">
        <v>2690</v>
      </c>
      <c r="F147" s="228"/>
      <c r="G147" s="231"/>
      <c r="H147" s="234"/>
      <c r="I147" s="205"/>
      <c r="J147" s="205"/>
      <c r="K147" s="204"/>
      <c r="L147" s="205"/>
      <c r="M147" s="205"/>
      <c r="N147" s="205"/>
      <c r="O147" s="205"/>
      <c r="P147" s="205"/>
      <c r="Q147" s="205"/>
      <c r="R147" s="205"/>
      <c r="S147" s="205"/>
      <c r="T147" s="205"/>
      <c r="U147" s="205"/>
      <c r="V147" s="205"/>
      <c r="W147" s="206"/>
      <c r="X147" s="205"/>
      <c r="Y147" s="205"/>
      <c r="Z147" s="205"/>
      <c r="AA147" s="205" t="s">
        <v>12</v>
      </c>
      <c r="AB147" s="205" t="s">
        <v>12</v>
      </c>
      <c r="AC147" s="205"/>
      <c r="AD147" s="205"/>
      <c r="AE147" s="205"/>
      <c r="AF147" s="204">
        <v>1</v>
      </c>
      <c r="AG147" s="205"/>
      <c r="AH147" s="205"/>
      <c r="AI147" s="205"/>
      <c r="AJ147" s="205"/>
      <c r="AK147" s="205"/>
      <c r="AL147" s="205"/>
      <c r="AM147" s="206"/>
      <c r="AN147" s="205">
        <f t="shared" si="2"/>
        <v>1</v>
      </c>
    </row>
    <row r="148" spans="1:40" ht="23" x14ac:dyDescent="0.35">
      <c r="A148" s="203" t="s">
        <v>2652</v>
      </c>
      <c r="B148" s="203" t="s">
        <v>2675</v>
      </c>
      <c r="C148" s="203" t="s">
        <v>5</v>
      </c>
      <c r="D148" s="203">
        <v>1800</v>
      </c>
      <c r="E148" s="203" t="s">
        <v>2680</v>
      </c>
      <c r="F148" s="228"/>
      <c r="G148" s="231"/>
      <c r="H148" s="234"/>
      <c r="I148" s="205"/>
      <c r="J148" s="205"/>
      <c r="K148" s="204"/>
      <c r="L148" s="205"/>
      <c r="M148" s="205"/>
      <c r="N148" s="205"/>
      <c r="O148" s="205"/>
      <c r="P148" s="205"/>
      <c r="Q148" s="205"/>
      <c r="R148" s="205"/>
      <c r="S148" s="205"/>
      <c r="T148" s="205"/>
      <c r="U148" s="205"/>
      <c r="V148" s="205"/>
      <c r="W148" s="206"/>
      <c r="X148" s="205"/>
      <c r="Y148" s="205"/>
      <c r="Z148" s="205"/>
      <c r="AA148" s="205" t="s">
        <v>12</v>
      </c>
      <c r="AB148" s="205" t="s">
        <v>12</v>
      </c>
      <c r="AC148" s="205"/>
      <c r="AD148" s="205"/>
      <c r="AE148" s="205"/>
      <c r="AF148" s="204"/>
      <c r="AG148" s="205"/>
      <c r="AH148" s="205"/>
      <c r="AI148" s="205">
        <v>1</v>
      </c>
      <c r="AJ148" s="205"/>
      <c r="AK148" s="205"/>
      <c r="AL148" s="205"/>
      <c r="AM148" s="206"/>
      <c r="AN148" s="205">
        <f t="shared" si="2"/>
        <v>1</v>
      </c>
    </row>
    <row r="149" spans="1:40" ht="23" x14ac:dyDescent="0.35">
      <c r="A149" s="203" t="s">
        <v>2652</v>
      </c>
      <c r="B149" s="203" t="s">
        <v>2655</v>
      </c>
      <c r="C149" s="203" t="s">
        <v>5</v>
      </c>
      <c r="D149" s="203">
        <v>1600</v>
      </c>
      <c r="E149" s="203" t="s">
        <v>2681</v>
      </c>
      <c r="F149" s="228"/>
      <c r="G149" s="231"/>
      <c r="H149" s="234"/>
      <c r="I149" s="205"/>
      <c r="J149" s="205"/>
      <c r="K149" s="204"/>
      <c r="L149" s="205"/>
      <c r="M149" s="205"/>
      <c r="N149" s="205"/>
      <c r="O149" s="205"/>
      <c r="P149" s="205"/>
      <c r="Q149" s="205"/>
      <c r="R149" s="205"/>
      <c r="S149" s="205"/>
      <c r="T149" s="205"/>
      <c r="U149" s="205"/>
      <c r="V149" s="205"/>
      <c r="W149" s="206"/>
      <c r="X149" s="205"/>
      <c r="Y149" s="205"/>
      <c r="Z149" s="205"/>
      <c r="AA149" s="205" t="s">
        <v>12</v>
      </c>
      <c r="AB149" s="205" t="s">
        <v>12</v>
      </c>
      <c r="AC149" s="205"/>
      <c r="AD149" s="205"/>
      <c r="AE149" s="205"/>
      <c r="AF149" s="204"/>
      <c r="AG149" s="205">
        <v>1</v>
      </c>
      <c r="AH149" s="205"/>
      <c r="AI149" s="205"/>
      <c r="AJ149" s="205"/>
      <c r="AK149" s="205"/>
      <c r="AL149" s="205">
        <v>1</v>
      </c>
      <c r="AM149" s="206"/>
      <c r="AN149" s="205">
        <f t="shared" si="2"/>
        <v>2</v>
      </c>
    </row>
    <row r="150" spans="1:40" ht="34.5" x14ac:dyDescent="0.35">
      <c r="A150" s="203" t="s">
        <v>2652</v>
      </c>
      <c r="B150" s="203" t="s">
        <v>2664</v>
      </c>
      <c r="C150" s="203" t="s">
        <v>5</v>
      </c>
      <c r="D150" s="203">
        <v>1200</v>
      </c>
      <c r="E150" s="203" t="s">
        <v>2667</v>
      </c>
      <c r="F150" s="228"/>
      <c r="G150" s="231"/>
      <c r="H150" s="234"/>
      <c r="I150" s="205"/>
      <c r="J150" s="205"/>
      <c r="K150" s="204"/>
      <c r="L150" s="205"/>
      <c r="M150" s="205"/>
      <c r="N150" s="205"/>
      <c r="O150" s="205"/>
      <c r="P150" s="205"/>
      <c r="Q150" s="205"/>
      <c r="R150" s="205"/>
      <c r="S150" s="205"/>
      <c r="T150" s="205"/>
      <c r="U150" s="205"/>
      <c r="V150" s="205"/>
      <c r="W150" s="206"/>
      <c r="X150" s="205"/>
      <c r="Y150" s="205"/>
      <c r="Z150" s="205"/>
      <c r="AA150" s="205" t="s">
        <v>12</v>
      </c>
      <c r="AB150" s="205" t="s">
        <v>12</v>
      </c>
      <c r="AC150" s="205"/>
      <c r="AD150" s="205"/>
      <c r="AE150" s="205"/>
      <c r="AF150" s="204"/>
      <c r="AG150" s="205"/>
      <c r="AH150" s="205"/>
      <c r="AI150" s="205"/>
      <c r="AJ150" s="205">
        <v>1</v>
      </c>
      <c r="AK150" s="205"/>
      <c r="AL150" s="205"/>
      <c r="AM150" s="206"/>
      <c r="AN150" s="205">
        <f t="shared" si="2"/>
        <v>1</v>
      </c>
    </row>
    <row r="151" spans="1:40" ht="23" x14ac:dyDescent="0.35">
      <c r="A151" s="203" t="s">
        <v>2822</v>
      </c>
      <c r="B151" s="203" t="s">
        <v>2723</v>
      </c>
      <c r="C151" s="203" t="s">
        <v>8</v>
      </c>
      <c r="D151" s="203">
        <v>200</v>
      </c>
      <c r="E151" s="211" t="s">
        <v>2726</v>
      </c>
      <c r="F151" s="228"/>
      <c r="G151" s="231"/>
      <c r="H151" s="234">
        <v>1</v>
      </c>
      <c r="I151" s="205"/>
      <c r="J151" s="205"/>
      <c r="K151" s="204"/>
      <c r="L151" s="205"/>
      <c r="M151" s="205"/>
      <c r="N151" s="205"/>
      <c r="O151" s="205"/>
      <c r="P151" s="205"/>
      <c r="Q151" s="205"/>
      <c r="R151" s="205"/>
      <c r="S151" s="205"/>
      <c r="T151" s="205"/>
      <c r="U151" s="205"/>
      <c r="V151" s="205"/>
      <c r="W151" s="206"/>
      <c r="X151" s="205"/>
      <c r="Y151" s="205" t="s">
        <v>12</v>
      </c>
      <c r="Z151" s="205"/>
      <c r="AA151" s="205"/>
      <c r="AB151" s="205"/>
      <c r="AC151" s="205"/>
      <c r="AD151" s="205"/>
      <c r="AE151" s="205"/>
      <c r="AF151" s="204"/>
      <c r="AG151" s="205"/>
      <c r="AH151" s="205"/>
      <c r="AI151" s="205"/>
      <c r="AJ151" s="205"/>
      <c r="AK151" s="205">
        <v>1</v>
      </c>
      <c r="AL151" s="205"/>
      <c r="AM151" s="206"/>
      <c r="AN151" s="205">
        <f t="shared" si="2"/>
        <v>1</v>
      </c>
    </row>
    <row r="152" spans="1:40" ht="23" x14ac:dyDescent="0.35">
      <c r="A152" s="203" t="s">
        <v>2822</v>
      </c>
      <c r="B152" s="203" t="s">
        <v>2724</v>
      </c>
      <c r="C152" s="203" t="s">
        <v>8</v>
      </c>
      <c r="D152" s="203">
        <v>100</v>
      </c>
      <c r="E152" s="203" t="s">
        <v>2727</v>
      </c>
      <c r="F152" s="228"/>
      <c r="G152" s="231"/>
      <c r="H152" s="234">
        <v>1</v>
      </c>
      <c r="I152" s="205"/>
      <c r="J152" s="205"/>
      <c r="K152" s="204"/>
      <c r="L152" s="205"/>
      <c r="M152" s="205"/>
      <c r="N152" s="205"/>
      <c r="O152" s="205"/>
      <c r="P152" s="205"/>
      <c r="Q152" s="205"/>
      <c r="R152" s="205"/>
      <c r="S152" s="205"/>
      <c r="T152" s="205"/>
      <c r="U152" s="205"/>
      <c r="V152" s="205"/>
      <c r="W152" s="206"/>
      <c r="X152" s="205"/>
      <c r="Y152" s="205"/>
      <c r="Z152" s="205"/>
      <c r="AA152" s="205"/>
      <c r="AB152" s="205"/>
      <c r="AC152" s="205"/>
      <c r="AD152" s="205"/>
      <c r="AE152" s="205"/>
      <c r="AF152" s="204"/>
      <c r="AG152" s="205"/>
      <c r="AH152" s="205"/>
      <c r="AI152" s="205"/>
      <c r="AJ152" s="205"/>
      <c r="AK152" s="205">
        <v>1</v>
      </c>
      <c r="AL152" s="205"/>
      <c r="AM152" s="206"/>
      <c r="AN152" s="205">
        <f t="shared" si="2"/>
        <v>1</v>
      </c>
    </row>
    <row r="153" spans="1:40" ht="23" x14ac:dyDescent="0.35">
      <c r="A153" s="203" t="s">
        <v>2822</v>
      </c>
      <c r="B153" s="203" t="s">
        <v>2716</v>
      </c>
      <c r="C153" s="203" t="s">
        <v>8</v>
      </c>
      <c r="D153" s="203">
        <v>200</v>
      </c>
      <c r="E153" s="203" t="s">
        <v>2720</v>
      </c>
      <c r="F153" s="228"/>
      <c r="G153" s="231"/>
      <c r="H153" s="234">
        <v>1</v>
      </c>
      <c r="I153" s="205"/>
      <c r="J153" s="205"/>
      <c r="K153" s="204"/>
      <c r="L153" s="205"/>
      <c r="M153" s="205"/>
      <c r="N153" s="205"/>
      <c r="O153" s="205"/>
      <c r="P153" s="205"/>
      <c r="Q153" s="205"/>
      <c r="R153" s="205"/>
      <c r="S153" s="205"/>
      <c r="T153" s="205"/>
      <c r="U153" s="205"/>
      <c r="V153" s="205"/>
      <c r="W153" s="206"/>
      <c r="X153" s="205"/>
      <c r="Y153" s="205" t="s">
        <v>12</v>
      </c>
      <c r="Z153" s="205"/>
      <c r="AA153" s="205"/>
      <c r="AB153" s="205"/>
      <c r="AC153" s="205"/>
      <c r="AD153" s="205"/>
      <c r="AE153" s="205"/>
      <c r="AF153" s="204"/>
      <c r="AG153" s="205"/>
      <c r="AH153" s="205"/>
      <c r="AI153" s="205"/>
      <c r="AJ153" s="205"/>
      <c r="AK153" s="205"/>
      <c r="AL153" s="205">
        <v>1</v>
      </c>
      <c r="AM153" s="206"/>
      <c r="AN153" s="205">
        <f t="shared" si="2"/>
        <v>1</v>
      </c>
    </row>
    <row r="154" spans="1:40" ht="23" x14ac:dyDescent="0.35">
      <c r="A154" s="203" t="s">
        <v>2822</v>
      </c>
      <c r="B154" s="203" t="s">
        <v>2713</v>
      </c>
      <c r="C154" s="203" t="s">
        <v>8</v>
      </c>
      <c r="D154" s="203">
        <v>0</v>
      </c>
      <c r="E154" s="203" t="s">
        <v>2718</v>
      </c>
      <c r="F154" s="228"/>
      <c r="G154" s="231">
        <v>1</v>
      </c>
      <c r="H154" s="234"/>
      <c r="I154" s="205"/>
      <c r="J154" s="205"/>
      <c r="K154" s="204"/>
      <c r="L154" s="205"/>
      <c r="M154" s="205"/>
      <c r="N154" s="205"/>
      <c r="O154" s="205"/>
      <c r="P154" s="205"/>
      <c r="Q154" s="205"/>
      <c r="R154" s="205"/>
      <c r="S154" s="205"/>
      <c r="T154" s="205"/>
      <c r="U154" s="205"/>
      <c r="V154" s="205"/>
      <c r="W154" s="206"/>
      <c r="X154" s="205"/>
      <c r="Y154" s="205"/>
      <c r="Z154" s="205"/>
      <c r="AA154" s="205"/>
      <c r="AB154" s="205"/>
      <c r="AC154" s="205"/>
      <c r="AD154" s="205"/>
      <c r="AE154" s="205"/>
      <c r="AF154" s="204"/>
      <c r="AG154" s="205"/>
      <c r="AH154" s="205"/>
      <c r="AI154" s="205"/>
      <c r="AJ154" s="205"/>
      <c r="AK154" s="205"/>
      <c r="AL154" s="205">
        <v>1</v>
      </c>
      <c r="AM154" s="206"/>
      <c r="AN154" s="205">
        <f t="shared" si="2"/>
        <v>1</v>
      </c>
    </row>
    <row r="155" spans="1:40" ht="23" x14ac:dyDescent="0.35">
      <c r="A155" s="203" t="s">
        <v>2822</v>
      </c>
      <c r="B155" s="203" t="s">
        <v>2714</v>
      </c>
      <c r="C155" s="203" t="s">
        <v>8</v>
      </c>
      <c r="D155" s="203">
        <v>0</v>
      </c>
      <c r="E155" s="203" t="s">
        <v>2718</v>
      </c>
      <c r="F155" s="228"/>
      <c r="G155" s="231"/>
      <c r="H155" s="234">
        <v>1</v>
      </c>
      <c r="I155" s="205"/>
      <c r="J155" s="205"/>
      <c r="K155" s="204"/>
      <c r="L155" s="205"/>
      <c r="M155" s="205"/>
      <c r="N155" s="205"/>
      <c r="O155" s="205"/>
      <c r="P155" s="205"/>
      <c r="Q155" s="205"/>
      <c r="R155" s="205"/>
      <c r="S155" s="205"/>
      <c r="T155" s="205"/>
      <c r="U155" s="205"/>
      <c r="V155" s="205"/>
      <c r="W155" s="206"/>
      <c r="X155" s="205"/>
      <c r="Y155" s="205"/>
      <c r="Z155" s="205"/>
      <c r="AA155" s="205"/>
      <c r="AB155" s="205"/>
      <c r="AC155" s="205"/>
      <c r="AD155" s="205"/>
      <c r="AE155" s="205"/>
      <c r="AF155" s="204"/>
      <c r="AG155" s="205"/>
      <c r="AH155" s="205"/>
      <c r="AI155" s="205"/>
      <c r="AJ155" s="205"/>
      <c r="AK155" s="205"/>
      <c r="AL155" s="205">
        <v>1</v>
      </c>
      <c r="AM155" s="206"/>
      <c r="AN155" s="205">
        <f t="shared" si="2"/>
        <v>1</v>
      </c>
    </row>
    <row r="156" spans="1:40" ht="34.5" x14ac:dyDescent="0.35">
      <c r="A156" s="203" t="s">
        <v>2822</v>
      </c>
      <c r="B156" s="203" t="s">
        <v>2728</v>
      </c>
      <c r="C156" s="203" t="s">
        <v>131</v>
      </c>
      <c r="D156" s="203">
        <v>600</v>
      </c>
      <c r="E156" s="203" t="s">
        <v>2731</v>
      </c>
      <c r="F156" s="228"/>
      <c r="G156" s="231"/>
      <c r="H156" s="234"/>
      <c r="I156" s="205"/>
      <c r="J156" s="205"/>
      <c r="K156" s="204"/>
      <c r="L156" s="205"/>
      <c r="M156" s="205"/>
      <c r="N156" s="205"/>
      <c r="O156" s="205"/>
      <c r="P156" s="205"/>
      <c r="Q156" s="205"/>
      <c r="R156" s="205"/>
      <c r="S156" s="205"/>
      <c r="T156" s="205"/>
      <c r="U156" s="205"/>
      <c r="V156" s="205"/>
      <c r="W156" s="206"/>
      <c r="X156" s="205"/>
      <c r="Y156" s="205"/>
      <c r="Z156" s="205"/>
      <c r="AA156" s="205"/>
      <c r="AB156" s="205"/>
      <c r="AC156" s="205"/>
      <c r="AD156" s="205"/>
      <c r="AE156" s="205"/>
      <c r="AF156" s="204"/>
      <c r="AG156" s="205"/>
      <c r="AH156" s="205"/>
      <c r="AI156" s="205"/>
      <c r="AJ156" s="205"/>
      <c r="AK156" s="205">
        <v>1</v>
      </c>
      <c r="AL156" s="205"/>
      <c r="AM156" s="206"/>
      <c r="AN156" s="205">
        <f t="shared" si="2"/>
        <v>1</v>
      </c>
    </row>
    <row r="157" spans="1:40" ht="23" x14ac:dyDescent="0.35">
      <c r="A157" s="203" t="s">
        <v>2822</v>
      </c>
      <c r="B157" s="203" t="s">
        <v>2715</v>
      </c>
      <c r="C157" s="203" t="s">
        <v>131</v>
      </c>
      <c r="D157" s="203">
        <v>400</v>
      </c>
      <c r="E157" s="203" t="s">
        <v>2719</v>
      </c>
      <c r="F157" s="228"/>
      <c r="G157" s="231"/>
      <c r="H157" s="234">
        <v>1</v>
      </c>
      <c r="I157" s="205"/>
      <c r="J157" s="205"/>
      <c r="K157" s="204"/>
      <c r="L157" s="205"/>
      <c r="M157" s="205"/>
      <c r="N157" s="205"/>
      <c r="O157" s="205"/>
      <c r="P157" s="205"/>
      <c r="Q157" s="205"/>
      <c r="R157" s="205"/>
      <c r="S157" s="205"/>
      <c r="T157" s="205"/>
      <c r="U157" s="205"/>
      <c r="V157" s="205"/>
      <c r="W157" s="206"/>
      <c r="X157" s="205"/>
      <c r="Y157" s="205"/>
      <c r="Z157" s="205"/>
      <c r="AA157" s="205"/>
      <c r="AB157" s="205"/>
      <c r="AC157" s="205"/>
      <c r="AD157" s="205"/>
      <c r="AE157" s="205"/>
      <c r="AF157" s="204"/>
      <c r="AG157" s="205"/>
      <c r="AH157" s="205"/>
      <c r="AI157" s="205"/>
      <c r="AJ157" s="205"/>
      <c r="AK157" s="205"/>
      <c r="AL157" s="205">
        <v>1</v>
      </c>
      <c r="AM157" s="206"/>
      <c r="AN157" s="205">
        <f t="shared" si="2"/>
        <v>1</v>
      </c>
    </row>
    <row r="158" spans="1:40" ht="34.5" x14ac:dyDescent="0.35">
      <c r="A158" s="203" t="s">
        <v>2822</v>
      </c>
      <c r="B158" s="203" t="s">
        <v>2729</v>
      </c>
      <c r="C158" s="203" t="s">
        <v>131</v>
      </c>
      <c r="D158" s="203">
        <v>0</v>
      </c>
      <c r="E158" s="203" t="s">
        <v>2730</v>
      </c>
      <c r="F158" s="228"/>
      <c r="G158" s="231"/>
      <c r="H158" s="234"/>
      <c r="I158" s="205"/>
      <c r="J158" s="205"/>
      <c r="K158" s="204"/>
      <c r="L158" s="205"/>
      <c r="M158" s="205"/>
      <c r="N158" s="205"/>
      <c r="O158" s="205"/>
      <c r="P158" s="205"/>
      <c r="Q158" s="205"/>
      <c r="R158" s="205"/>
      <c r="S158" s="205"/>
      <c r="T158" s="205"/>
      <c r="U158" s="205"/>
      <c r="V158" s="205"/>
      <c r="W158" s="206"/>
      <c r="X158" s="205"/>
      <c r="Y158" s="205"/>
      <c r="Z158" s="205"/>
      <c r="AA158" s="205"/>
      <c r="AB158" s="205"/>
      <c r="AC158" s="205"/>
      <c r="AD158" s="205"/>
      <c r="AE158" s="205"/>
      <c r="AF158" s="204"/>
      <c r="AG158" s="205"/>
      <c r="AH158" s="205"/>
      <c r="AI158" s="205"/>
      <c r="AJ158" s="205"/>
      <c r="AK158" s="205">
        <v>1</v>
      </c>
      <c r="AL158" s="205"/>
      <c r="AM158" s="206"/>
      <c r="AN158" s="205">
        <f t="shared" si="2"/>
        <v>1</v>
      </c>
    </row>
    <row r="159" spans="1:40" ht="34.5" x14ac:dyDescent="0.35">
      <c r="A159" s="203" t="s">
        <v>2822</v>
      </c>
      <c r="B159" s="203" t="s">
        <v>2706</v>
      </c>
      <c r="C159" s="203" t="s">
        <v>131</v>
      </c>
      <c r="D159" s="203">
        <v>200</v>
      </c>
      <c r="E159" s="203" t="s">
        <v>2712</v>
      </c>
      <c r="F159" s="228"/>
      <c r="G159" s="231"/>
      <c r="H159" s="234"/>
      <c r="I159" s="205"/>
      <c r="J159" s="205"/>
      <c r="K159" s="204"/>
      <c r="L159" s="205"/>
      <c r="M159" s="205"/>
      <c r="N159" s="205"/>
      <c r="O159" s="205"/>
      <c r="P159" s="205"/>
      <c r="Q159" s="205"/>
      <c r="R159" s="205"/>
      <c r="S159" s="205"/>
      <c r="T159" s="205"/>
      <c r="U159" s="205"/>
      <c r="V159" s="205"/>
      <c r="W159" s="206"/>
      <c r="X159" s="205"/>
      <c r="Y159" s="205"/>
      <c r="Z159" s="205"/>
      <c r="AA159" s="205"/>
      <c r="AB159" s="205"/>
      <c r="AC159" s="205"/>
      <c r="AD159" s="205"/>
      <c r="AE159" s="205"/>
      <c r="AF159" s="204"/>
      <c r="AG159" s="205"/>
      <c r="AH159" s="205">
        <v>1</v>
      </c>
      <c r="AI159" s="205"/>
      <c r="AJ159" s="205"/>
      <c r="AK159" s="205"/>
      <c r="AL159" s="205"/>
      <c r="AM159" s="206"/>
      <c r="AN159" s="205">
        <f t="shared" si="2"/>
        <v>1</v>
      </c>
    </row>
    <row r="160" spans="1:40" ht="46" x14ac:dyDescent="0.35">
      <c r="A160" s="203" t="s">
        <v>2822</v>
      </c>
      <c r="B160" s="203" t="s">
        <v>2707</v>
      </c>
      <c r="C160" s="203" t="s">
        <v>131</v>
      </c>
      <c r="D160" s="203">
        <v>300</v>
      </c>
      <c r="E160" s="203" t="s">
        <v>2710</v>
      </c>
      <c r="F160" s="228"/>
      <c r="G160" s="231"/>
      <c r="H160" s="234"/>
      <c r="I160" s="205"/>
      <c r="J160" s="205"/>
      <c r="K160" s="204"/>
      <c r="L160" s="205"/>
      <c r="M160" s="205"/>
      <c r="N160" s="205"/>
      <c r="O160" s="205"/>
      <c r="P160" s="205"/>
      <c r="Q160" s="205"/>
      <c r="R160" s="205"/>
      <c r="S160" s="205"/>
      <c r="T160" s="205"/>
      <c r="U160" s="205"/>
      <c r="V160" s="205"/>
      <c r="W160" s="206"/>
      <c r="X160" s="205"/>
      <c r="Y160" s="205"/>
      <c r="Z160" s="205"/>
      <c r="AA160" s="205"/>
      <c r="AB160" s="205"/>
      <c r="AC160" s="205"/>
      <c r="AD160" s="205"/>
      <c r="AE160" s="205"/>
      <c r="AF160" s="204">
        <v>1</v>
      </c>
      <c r="AG160" s="205"/>
      <c r="AH160" s="205"/>
      <c r="AI160" s="205"/>
      <c r="AJ160" s="205"/>
      <c r="AK160" s="205"/>
      <c r="AL160" s="205"/>
      <c r="AM160" s="206"/>
      <c r="AN160" s="205">
        <f t="shared" si="2"/>
        <v>1</v>
      </c>
    </row>
    <row r="161" spans="1:40" ht="34.5" x14ac:dyDescent="0.35">
      <c r="A161" s="203" t="s">
        <v>2822</v>
      </c>
      <c r="B161" s="203" t="s">
        <v>2708</v>
      </c>
      <c r="C161" s="203" t="s">
        <v>131</v>
      </c>
      <c r="D161" s="203">
        <v>300</v>
      </c>
      <c r="E161" s="203" t="s">
        <v>2711</v>
      </c>
      <c r="F161" s="228"/>
      <c r="G161" s="231"/>
      <c r="H161" s="234"/>
      <c r="I161" s="205"/>
      <c r="J161" s="205"/>
      <c r="K161" s="204"/>
      <c r="L161" s="205"/>
      <c r="M161" s="205"/>
      <c r="N161" s="205"/>
      <c r="O161" s="205"/>
      <c r="P161" s="205"/>
      <c r="Q161" s="205"/>
      <c r="R161" s="205"/>
      <c r="S161" s="205"/>
      <c r="T161" s="205"/>
      <c r="U161" s="205"/>
      <c r="V161" s="205"/>
      <c r="W161" s="206"/>
      <c r="X161" s="205"/>
      <c r="Y161" s="205"/>
      <c r="Z161" s="205"/>
      <c r="AA161" s="205"/>
      <c r="AB161" s="205"/>
      <c r="AC161" s="205"/>
      <c r="AD161" s="205"/>
      <c r="AE161" s="205"/>
      <c r="AF161" s="204"/>
      <c r="AG161" s="205"/>
      <c r="AH161" s="205"/>
      <c r="AI161" s="205"/>
      <c r="AJ161" s="205">
        <v>1</v>
      </c>
      <c r="AK161" s="205"/>
      <c r="AL161" s="205"/>
      <c r="AM161" s="206"/>
      <c r="AN161" s="205">
        <f t="shared" si="2"/>
        <v>1</v>
      </c>
    </row>
    <row r="162" spans="1:40" ht="46" x14ac:dyDescent="0.35">
      <c r="A162" s="203" t="s">
        <v>2822</v>
      </c>
      <c r="B162" s="203" t="s">
        <v>2705</v>
      </c>
      <c r="C162" s="203" t="s">
        <v>131</v>
      </c>
      <c r="D162" s="203">
        <v>300</v>
      </c>
      <c r="E162" s="203" t="s">
        <v>2709</v>
      </c>
      <c r="F162" s="228"/>
      <c r="G162" s="231"/>
      <c r="H162" s="234"/>
      <c r="I162" s="205"/>
      <c r="J162" s="205"/>
      <c r="K162" s="204"/>
      <c r="L162" s="205"/>
      <c r="M162" s="205"/>
      <c r="N162" s="205"/>
      <c r="O162" s="205"/>
      <c r="P162" s="205"/>
      <c r="Q162" s="205"/>
      <c r="R162" s="205"/>
      <c r="S162" s="205"/>
      <c r="T162" s="205"/>
      <c r="U162" s="205"/>
      <c r="V162" s="205"/>
      <c r="W162" s="206"/>
      <c r="X162" s="205"/>
      <c r="Y162" s="205"/>
      <c r="Z162" s="205"/>
      <c r="AA162" s="205"/>
      <c r="AB162" s="205"/>
      <c r="AC162" s="205"/>
      <c r="AD162" s="205"/>
      <c r="AE162" s="205"/>
      <c r="AF162" s="204"/>
      <c r="AG162" s="205"/>
      <c r="AH162" s="205"/>
      <c r="AI162" s="205">
        <v>1</v>
      </c>
      <c r="AJ162" s="205"/>
      <c r="AK162" s="205"/>
      <c r="AL162" s="205"/>
      <c r="AM162" s="206"/>
      <c r="AN162" s="205">
        <f t="shared" si="2"/>
        <v>1</v>
      </c>
    </row>
    <row r="163" spans="1:40" ht="23" x14ac:dyDescent="0.35">
      <c r="A163" s="203" t="s">
        <v>2822</v>
      </c>
      <c r="B163" s="203" t="s">
        <v>2722</v>
      </c>
      <c r="C163" s="203" t="s">
        <v>131</v>
      </c>
      <c r="D163" s="203">
        <v>0</v>
      </c>
      <c r="E163" s="203" t="s">
        <v>2725</v>
      </c>
      <c r="F163" s="228">
        <v>1</v>
      </c>
      <c r="G163" s="231"/>
      <c r="H163" s="234"/>
      <c r="I163" s="205"/>
      <c r="J163" s="205"/>
      <c r="K163" s="204"/>
      <c r="L163" s="205"/>
      <c r="M163" s="205"/>
      <c r="N163" s="205"/>
      <c r="O163" s="205"/>
      <c r="P163" s="205"/>
      <c r="Q163" s="205"/>
      <c r="R163" s="205"/>
      <c r="S163" s="205"/>
      <c r="T163" s="205"/>
      <c r="U163" s="205"/>
      <c r="V163" s="205"/>
      <c r="W163" s="206"/>
      <c r="X163" s="205"/>
      <c r="Y163" s="205"/>
      <c r="Z163" s="205"/>
      <c r="AA163" s="205"/>
      <c r="AB163" s="205"/>
      <c r="AC163" s="205"/>
      <c r="AD163" s="205"/>
      <c r="AE163" s="205"/>
      <c r="AF163" s="204"/>
      <c r="AG163" s="205"/>
      <c r="AH163" s="205"/>
      <c r="AI163" s="205"/>
      <c r="AJ163" s="205"/>
      <c r="AK163" s="205">
        <v>1</v>
      </c>
      <c r="AL163" s="205"/>
      <c r="AM163" s="206"/>
      <c r="AN163" s="205">
        <f t="shared" si="2"/>
        <v>1</v>
      </c>
    </row>
    <row r="164" spans="1:40" ht="34.5" x14ac:dyDescent="0.35">
      <c r="A164" s="203" t="s">
        <v>2822</v>
      </c>
      <c r="B164" s="203" t="s">
        <v>2692</v>
      </c>
      <c r="C164" s="203" t="s">
        <v>136</v>
      </c>
      <c r="D164" s="203"/>
      <c r="E164" s="203" t="s">
        <v>2694</v>
      </c>
      <c r="F164" s="228"/>
      <c r="G164" s="231">
        <v>2</v>
      </c>
      <c r="H164" s="234">
        <v>1</v>
      </c>
      <c r="I164" s="205" t="s">
        <v>12</v>
      </c>
      <c r="J164" s="205"/>
      <c r="K164" s="204"/>
      <c r="L164" s="205"/>
      <c r="M164" s="205"/>
      <c r="N164" s="205"/>
      <c r="O164" s="205"/>
      <c r="P164" s="205"/>
      <c r="Q164" s="205"/>
      <c r="R164" s="205"/>
      <c r="S164" s="205" t="s">
        <v>12</v>
      </c>
      <c r="T164" s="205"/>
      <c r="U164" s="205"/>
      <c r="V164" s="205"/>
      <c r="W164" s="206"/>
      <c r="X164" s="205"/>
      <c r="Y164" s="205"/>
      <c r="Z164" s="205"/>
      <c r="AA164" s="205"/>
      <c r="AB164" s="205"/>
      <c r="AC164" s="205"/>
      <c r="AD164" s="205"/>
      <c r="AE164" s="205" t="s">
        <v>12</v>
      </c>
      <c r="AF164" s="204"/>
      <c r="AG164" s="205"/>
      <c r="AH164" s="205"/>
      <c r="AI164" s="205"/>
      <c r="AJ164" s="205"/>
      <c r="AK164" s="205"/>
      <c r="AL164" s="205"/>
      <c r="AM164" s="206">
        <v>1</v>
      </c>
      <c r="AN164" s="205">
        <f t="shared" si="2"/>
        <v>1</v>
      </c>
    </row>
    <row r="165" spans="1:40" ht="34.5" x14ac:dyDescent="0.35">
      <c r="A165" s="203" t="s">
        <v>2822</v>
      </c>
      <c r="B165" s="203" t="s">
        <v>2693</v>
      </c>
      <c r="C165" s="203" t="s">
        <v>136</v>
      </c>
      <c r="D165" s="203"/>
      <c r="E165" s="203" t="s">
        <v>2697</v>
      </c>
      <c r="F165" s="228">
        <v>3</v>
      </c>
      <c r="G165" s="231"/>
      <c r="H165" s="234"/>
      <c r="I165" s="205"/>
      <c r="J165" s="205"/>
      <c r="K165" s="204"/>
      <c r="L165" s="205"/>
      <c r="M165" s="205"/>
      <c r="N165" s="205"/>
      <c r="O165" s="205"/>
      <c r="P165" s="205"/>
      <c r="Q165" s="205"/>
      <c r="R165" s="205"/>
      <c r="S165" s="205"/>
      <c r="T165" s="205"/>
      <c r="U165" s="205"/>
      <c r="V165" s="205"/>
      <c r="W165" s="206"/>
      <c r="X165" s="205"/>
      <c r="Y165" s="205"/>
      <c r="Z165" s="205"/>
      <c r="AA165" s="205"/>
      <c r="AB165" s="205"/>
      <c r="AC165" s="205"/>
      <c r="AD165" s="205"/>
      <c r="AE165" s="205"/>
      <c r="AF165" s="204"/>
      <c r="AG165" s="205"/>
      <c r="AH165" s="205"/>
      <c r="AI165" s="205"/>
      <c r="AJ165" s="205"/>
      <c r="AK165" s="205"/>
      <c r="AL165" s="205"/>
      <c r="AM165" s="206">
        <v>1</v>
      </c>
      <c r="AN165" s="205">
        <f t="shared" si="2"/>
        <v>1</v>
      </c>
    </row>
    <row r="166" spans="1:40" ht="34.5" x14ac:dyDescent="0.35">
      <c r="A166" s="203" t="s">
        <v>2822</v>
      </c>
      <c r="B166" s="203" t="s">
        <v>2284</v>
      </c>
      <c r="C166" s="203" t="s">
        <v>136</v>
      </c>
      <c r="D166" s="203"/>
      <c r="E166" s="203" t="s">
        <v>2695</v>
      </c>
      <c r="F166" s="228">
        <v>1</v>
      </c>
      <c r="G166" s="231">
        <v>2</v>
      </c>
      <c r="H166" s="234"/>
      <c r="I166" s="205"/>
      <c r="J166" s="205"/>
      <c r="K166" s="204"/>
      <c r="L166" s="205"/>
      <c r="M166" s="205"/>
      <c r="N166" s="205"/>
      <c r="O166" s="205"/>
      <c r="P166" s="205"/>
      <c r="Q166" s="205"/>
      <c r="R166" s="205"/>
      <c r="S166" s="205"/>
      <c r="T166" s="205"/>
      <c r="U166" s="205"/>
      <c r="V166" s="205"/>
      <c r="W166" s="206"/>
      <c r="X166" s="205"/>
      <c r="Y166" s="205"/>
      <c r="Z166" s="205"/>
      <c r="AA166" s="205" t="s">
        <v>12</v>
      </c>
      <c r="AB166" s="205" t="s">
        <v>12</v>
      </c>
      <c r="AC166" s="205"/>
      <c r="AD166" s="205"/>
      <c r="AE166" s="205"/>
      <c r="AF166" s="204"/>
      <c r="AG166" s="205"/>
      <c r="AH166" s="205"/>
      <c r="AI166" s="205"/>
      <c r="AJ166" s="205"/>
      <c r="AK166" s="205"/>
      <c r="AL166" s="205"/>
      <c r="AM166" s="206">
        <v>1</v>
      </c>
      <c r="AN166" s="205">
        <f t="shared" si="2"/>
        <v>1</v>
      </c>
    </row>
    <row r="167" spans="1:40" ht="34.5" x14ac:dyDescent="0.35">
      <c r="A167" s="203" t="s">
        <v>2822</v>
      </c>
      <c r="B167" s="203" t="s">
        <v>2280</v>
      </c>
      <c r="C167" s="203" t="s">
        <v>136</v>
      </c>
      <c r="D167" s="203"/>
      <c r="E167" s="203" t="s">
        <v>2698</v>
      </c>
      <c r="F167" s="228">
        <v>1</v>
      </c>
      <c r="G167" s="231">
        <v>1</v>
      </c>
      <c r="H167" s="234">
        <v>1</v>
      </c>
      <c r="I167" s="205" t="s">
        <v>12</v>
      </c>
      <c r="J167" s="205"/>
      <c r="K167" s="204"/>
      <c r="L167" s="205"/>
      <c r="M167" s="205"/>
      <c r="N167" s="205" t="s">
        <v>12</v>
      </c>
      <c r="O167" s="205"/>
      <c r="P167" s="205"/>
      <c r="Q167" s="205"/>
      <c r="R167" s="205"/>
      <c r="S167" s="205"/>
      <c r="T167" s="205"/>
      <c r="U167" s="205"/>
      <c r="V167" s="205"/>
      <c r="W167" s="206"/>
      <c r="X167" s="205"/>
      <c r="Y167" s="205"/>
      <c r="Z167" s="205"/>
      <c r="AA167" s="205"/>
      <c r="AB167" s="205"/>
      <c r="AC167" s="205"/>
      <c r="AD167" s="205"/>
      <c r="AE167" s="205"/>
      <c r="AF167" s="204"/>
      <c r="AG167" s="205"/>
      <c r="AH167" s="205"/>
      <c r="AI167" s="205"/>
      <c r="AJ167" s="205"/>
      <c r="AK167" s="205"/>
      <c r="AL167" s="205"/>
      <c r="AM167" s="206">
        <v>1</v>
      </c>
      <c r="AN167" s="205">
        <f t="shared" si="2"/>
        <v>1</v>
      </c>
    </row>
    <row r="168" spans="1:40" ht="23" x14ac:dyDescent="0.35">
      <c r="A168" s="203" t="s">
        <v>2822</v>
      </c>
      <c r="B168" s="203" t="s">
        <v>2281</v>
      </c>
      <c r="C168" s="203" t="s">
        <v>136</v>
      </c>
      <c r="D168" s="203"/>
      <c r="E168" s="203" t="s">
        <v>2696</v>
      </c>
      <c r="F168" s="228"/>
      <c r="G168" s="231">
        <v>1</v>
      </c>
      <c r="H168" s="234">
        <v>2</v>
      </c>
      <c r="I168" s="205" t="s">
        <v>12</v>
      </c>
      <c r="J168" s="205"/>
      <c r="K168" s="204"/>
      <c r="L168" s="205"/>
      <c r="M168" s="205"/>
      <c r="N168" s="205"/>
      <c r="O168" s="205"/>
      <c r="P168" s="205"/>
      <c r="Q168" s="205"/>
      <c r="R168" s="205"/>
      <c r="S168" s="205"/>
      <c r="T168" s="205"/>
      <c r="U168" s="205"/>
      <c r="V168" s="205"/>
      <c r="W168" s="206"/>
      <c r="X168" s="205"/>
      <c r="Y168" s="205" t="s">
        <v>12</v>
      </c>
      <c r="Z168" s="205"/>
      <c r="AA168" s="205" t="s">
        <v>12</v>
      </c>
      <c r="AB168" s="205"/>
      <c r="AC168" s="205"/>
      <c r="AD168" s="205"/>
      <c r="AE168" s="205"/>
      <c r="AF168" s="204"/>
      <c r="AG168" s="205"/>
      <c r="AH168" s="205"/>
      <c r="AI168" s="205"/>
      <c r="AJ168" s="205"/>
      <c r="AK168" s="205"/>
      <c r="AL168" s="205"/>
      <c r="AM168" s="206">
        <v>1</v>
      </c>
      <c r="AN168" s="205">
        <f t="shared" si="2"/>
        <v>1</v>
      </c>
    </row>
    <row r="169" spans="1:40" ht="46" x14ac:dyDescent="0.35">
      <c r="A169" s="203" t="s">
        <v>2822</v>
      </c>
      <c r="B169" s="203" t="s">
        <v>2735</v>
      </c>
      <c r="C169" s="203" t="s">
        <v>5</v>
      </c>
      <c r="D169" s="203"/>
      <c r="E169" s="203" t="s">
        <v>2737</v>
      </c>
      <c r="F169" s="228"/>
      <c r="G169" s="231"/>
      <c r="H169" s="234"/>
      <c r="I169" s="205"/>
      <c r="J169" s="205"/>
      <c r="K169" s="204"/>
      <c r="L169" s="205"/>
      <c r="M169" s="205"/>
      <c r="N169" s="205"/>
      <c r="O169" s="205"/>
      <c r="P169" s="205"/>
      <c r="Q169" s="205"/>
      <c r="R169" s="205"/>
      <c r="S169" s="205"/>
      <c r="T169" s="205"/>
      <c r="U169" s="205"/>
      <c r="V169" s="205"/>
      <c r="W169" s="206"/>
      <c r="X169" s="205"/>
      <c r="Y169" s="205"/>
      <c r="Z169" s="205"/>
      <c r="AA169" s="205"/>
      <c r="AB169" s="205"/>
      <c r="AC169" s="205"/>
      <c r="AD169" s="205"/>
      <c r="AE169" s="205"/>
      <c r="AF169" s="204"/>
      <c r="AG169" s="205"/>
      <c r="AH169" s="205"/>
      <c r="AI169" s="205"/>
      <c r="AJ169" s="205"/>
      <c r="AK169" s="205"/>
      <c r="AL169" s="205"/>
      <c r="AM169" s="206">
        <v>1</v>
      </c>
      <c r="AN169" s="205">
        <f t="shared" si="2"/>
        <v>1</v>
      </c>
    </row>
    <row r="170" spans="1:40" ht="23" x14ac:dyDescent="0.35">
      <c r="A170" s="203" t="s">
        <v>2822</v>
      </c>
      <c r="B170" s="203" t="s">
        <v>2387</v>
      </c>
      <c r="C170" s="203" t="s">
        <v>5</v>
      </c>
      <c r="D170" s="203"/>
      <c r="E170" s="203" t="s">
        <v>1866</v>
      </c>
      <c r="F170" s="228"/>
      <c r="G170" s="231"/>
      <c r="H170" s="234"/>
      <c r="I170" s="205"/>
      <c r="J170" s="205"/>
      <c r="K170" s="204"/>
      <c r="L170" s="205"/>
      <c r="M170" s="205"/>
      <c r="N170" s="205"/>
      <c r="O170" s="205"/>
      <c r="P170" s="205"/>
      <c r="Q170" s="205"/>
      <c r="R170" s="205"/>
      <c r="S170" s="205"/>
      <c r="T170" s="205"/>
      <c r="U170" s="205"/>
      <c r="V170" s="205"/>
      <c r="W170" s="206"/>
      <c r="X170" s="205"/>
      <c r="Y170" s="205"/>
      <c r="Z170" s="205"/>
      <c r="AA170" s="205"/>
      <c r="AB170" s="205"/>
      <c r="AC170" s="205"/>
      <c r="AD170" s="205"/>
      <c r="AE170" s="205"/>
      <c r="AF170" s="204"/>
      <c r="AG170" s="205"/>
      <c r="AH170" s="205"/>
      <c r="AI170" s="205"/>
      <c r="AJ170" s="205"/>
      <c r="AK170" s="205"/>
      <c r="AL170" s="205"/>
      <c r="AM170" s="206">
        <v>1</v>
      </c>
      <c r="AN170" s="205">
        <f t="shared" si="2"/>
        <v>1</v>
      </c>
    </row>
    <row r="171" spans="1:40" ht="23" x14ac:dyDescent="0.35">
      <c r="A171" s="203" t="s">
        <v>2822</v>
      </c>
      <c r="B171" s="203" t="s">
        <v>2736</v>
      </c>
      <c r="C171" s="203" t="s">
        <v>5</v>
      </c>
      <c r="D171" s="203"/>
      <c r="E171" s="203" t="s">
        <v>2738</v>
      </c>
      <c r="F171" s="228"/>
      <c r="G171" s="231"/>
      <c r="H171" s="234"/>
      <c r="I171" s="205"/>
      <c r="J171" s="205"/>
      <c r="K171" s="204"/>
      <c r="L171" s="205"/>
      <c r="M171" s="205"/>
      <c r="N171" s="205"/>
      <c r="O171" s="205"/>
      <c r="P171" s="205"/>
      <c r="Q171" s="205"/>
      <c r="R171" s="205"/>
      <c r="S171" s="205"/>
      <c r="T171" s="205"/>
      <c r="U171" s="205"/>
      <c r="V171" s="205"/>
      <c r="W171" s="206"/>
      <c r="X171" s="205"/>
      <c r="Y171" s="205"/>
      <c r="Z171" s="205"/>
      <c r="AA171" s="205"/>
      <c r="AB171" s="205"/>
      <c r="AC171" s="205"/>
      <c r="AD171" s="205"/>
      <c r="AE171" s="205"/>
      <c r="AF171" s="204"/>
      <c r="AG171" s="205"/>
      <c r="AH171" s="205"/>
      <c r="AI171" s="205"/>
      <c r="AJ171" s="205"/>
      <c r="AK171" s="205"/>
      <c r="AL171" s="205"/>
      <c r="AM171" s="206">
        <v>1</v>
      </c>
      <c r="AN171" s="205">
        <f t="shared" si="2"/>
        <v>1</v>
      </c>
    </row>
    <row r="172" spans="1:40" ht="23" x14ac:dyDescent="0.35">
      <c r="A172" s="203" t="s">
        <v>2822</v>
      </c>
      <c r="B172" s="203" t="s">
        <v>2732</v>
      </c>
      <c r="C172" s="203" t="s">
        <v>5</v>
      </c>
      <c r="D172" s="203"/>
      <c r="E172" s="211" t="s">
        <v>1891</v>
      </c>
      <c r="F172" s="228"/>
      <c r="G172" s="231"/>
      <c r="H172" s="234"/>
      <c r="I172" s="205"/>
      <c r="J172" s="205"/>
      <c r="K172" s="204"/>
      <c r="L172" s="205"/>
      <c r="M172" s="205"/>
      <c r="N172" s="205"/>
      <c r="O172" s="205"/>
      <c r="P172" s="205"/>
      <c r="Q172" s="205"/>
      <c r="R172" s="205"/>
      <c r="S172" s="205"/>
      <c r="T172" s="205"/>
      <c r="U172" s="205"/>
      <c r="V172" s="205"/>
      <c r="W172" s="206"/>
      <c r="X172" s="205"/>
      <c r="Y172" s="205"/>
      <c r="Z172" s="205"/>
      <c r="AA172" s="205"/>
      <c r="AB172" s="205"/>
      <c r="AC172" s="205"/>
      <c r="AD172" s="205"/>
      <c r="AE172" s="205"/>
      <c r="AF172" s="204"/>
      <c r="AG172" s="205"/>
      <c r="AH172" s="205"/>
      <c r="AI172" s="205"/>
      <c r="AJ172" s="205"/>
      <c r="AK172" s="205"/>
      <c r="AL172" s="205"/>
      <c r="AM172" s="206">
        <v>1</v>
      </c>
      <c r="AN172" s="205">
        <f t="shared" si="2"/>
        <v>1</v>
      </c>
    </row>
    <row r="173" spans="1:40" ht="23" x14ac:dyDescent="0.35">
      <c r="A173" s="203" t="s">
        <v>2822</v>
      </c>
      <c r="B173" s="203" t="s">
        <v>2386</v>
      </c>
      <c r="C173" s="203" t="s">
        <v>5</v>
      </c>
      <c r="D173" s="203"/>
      <c r="E173" s="203" t="s">
        <v>1853</v>
      </c>
      <c r="F173" s="228"/>
      <c r="G173" s="231"/>
      <c r="H173" s="234"/>
      <c r="I173" s="205"/>
      <c r="J173" s="205"/>
      <c r="K173" s="204"/>
      <c r="L173" s="205"/>
      <c r="M173" s="205"/>
      <c r="N173" s="205"/>
      <c r="O173" s="205"/>
      <c r="P173" s="205"/>
      <c r="Q173" s="205"/>
      <c r="R173" s="205"/>
      <c r="S173" s="205"/>
      <c r="T173" s="205"/>
      <c r="U173" s="205"/>
      <c r="V173" s="205"/>
      <c r="W173" s="206"/>
      <c r="X173" s="205"/>
      <c r="Y173" s="205"/>
      <c r="Z173" s="205"/>
      <c r="AA173" s="205"/>
      <c r="AB173" s="205"/>
      <c r="AC173" s="205"/>
      <c r="AD173" s="205"/>
      <c r="AE173" s="205"/>
      <c r="AF173" s="204"/>
      <c r="AG173" s="205"/>
      <c r="AH173" s="205"/>
      <c r="AI173" s="205"/>
      <c r="AJ173" s="205"/>
      <c r="AK173" s="205"/>
      <c r="AL173" s="205"/>
      <c r="AM173" s="206">
        <v>1</v>
      </c>
      <c r="AN173" s="205">
        <f t="shared" si="2"/>
        <v>1</v>
      </c>
    </row>
    <row r="174" spans="1:40" ht="23" x14ac:dyDescent="0.35">
      <c r="A174" s="203" t="s">
        <v>2822</v>
      </c>
      <c r="B174" s="203" t="s">
        <v>2389</v>
      </c>
      <c r="C174" s="203" t="s">
        <v>5</v>
      </c>
      <c r="D174" s="203"/>
      <c r="E174" s="203" t="s">
        <v>81</v>
      </c>
      <c r="F174" s="228"/>
      <c r="G174" s="231"/>
      <c r="H174" s="234"/>
      <c r="I174" s="205"/>
      <c r="J174" s="205"/>
      <c r="K174" s="204"/>
      <c r="L174" s="205"/>
      <c r="M174" s="205"/>
      <c r="N174" s="205"/>
      <c r="O174" s="205"/>
      <c r="P174" s="205"/>
      <c r="Q174" s="205"/>
      <c r="R174" s="205"/>
      <c r="S174" s="205"/>
      <c r="T174" s="205"/>
      <c r="U174" s="205"/>
      <c r="V174" s="205"/>
      <c r="W174" s="206"/>
      <c r="X174" s="205"/>
      <c r="Y174" s="205"/>
      <c r="Z174" s="205"/>
      <c r="AA174" s="205"/>
      <c r="AB174" s="205"/>
      <c r="AC174" s="205"/>
      <c r="AD174" s="205"/>
      <c r="AE174" s="205"/>
      <c r="AF174" s="204"/>
      <c r="AG174" s="205"/>
      <c r="AH174" s="205"/>
      <c r="AI174" s="205"/>
      <c r="AJ174" s="205"/>
      <c r="AK174" s="205"/>
      <c r="AL174" s="205"/>
      <c r="AM174" s="206">
        <v>1</v>
      </c>
      <c r="AN174" s="205">
        <f t="shared" si="2"/>
        <v>1</v>
      </c>
    </row>
    <row r="175" spans="1:40" ht="23" x14ac:dyDescent="0.35">
      <c r="A175" s="203" t="s">
        <v>2822</v>
      </c>
      <c r="B175" s="203" t="s">
        <v>2717</v>
      </c>
      <c r="C175" s="203" t="s">
        <v>5</v>
      </c>
      <c r="D175" s="203">
        <v>400</v>
      </c>
      <c r="E175" s="203" t="s">
        <v>2721</v>
      </c>
      <c r="F175" s="228"/>
      <c r="G175" s="231"/>
      <c r="H175" s="234"/>
      <c r="I175" s="205"/>
      <c r="J175" s="205"/>
      <c r="K175" s="204"/>
      <c r="L175" s="205"/>
      <c r="M175" s="205"/>
      <c r="N175" s="205"/>
      <c r="O175" s="205"/>
      <c r="P175" s="205"/>
      <c r="Q175" s="205"/>
      <c r="R175" s="205"/>
      <c r="S175" s="205"/>
      <c r="T175" s="205"/>
      <c r="U175" s="205"/>
      <c r="V175" s="205"/>
      <c r="W175" s="206"/>
      <c r="X175" s="205"/>
      <c r="Y175" s="205"/>
      <c r="Z175" s="205"/>
      <c r="AA175" s="205"/>
      <c r="AB175" s="205"/>
      <c r="AC175" s="205"/>
      <c r="AD175" s="205"/>
      <c r="AE175" s="205"/>
      <c r="AF175" s="204"/>
      <c r="AG175" s="205"/>
      <c r="AH175" s="205"/>
      <c r="AI175" s="205"/>
      <c r="AJ175" s="205"/>
      <c r="AK175" s="205"/>
      <c r="AL175" s="205">
        <v>1</v>
      </c>
      <c r="AM175" s="206"/>
      <c r="AN175" s="205">
        <f t="shared" si="2"/>
        <v>1</v>
      </c>
    </row>
    <row r="176" spans="1:40" ht="23" x14ac:dyDescent="0.35">
      <c r="A176" s="203" t="s">
        <v>2822</v>
      </c>
      <c r="B176" s="203" t="s">
        <v>2388</v>
      </c>
      <c r="C176" s="203" t="s">
        <v>5</v>
      </c>
      <c r="D176" s="203"/>
      <c r="E176" s="203" t="s">
        <v>112</v>
      </c>
      <c r="F176" s="228"/>
      <c r="G176" s="231"/>
      <c r="H176" s="234"/>
      <c r="I176" s="205"/>
      <c r="J176" s="205"/>
      <c r="K176" s="204"/>
      <c r="L176" s="205"/>
      <c r="M176" s="205"/>
      <c r="N176" s="205"/>
      <c r="O176" s="205"/>
      <c r="P176" s="205"/>
      <c r="Q176" s="205"/>
      <c r="R176" s="205"/>
      <c r="S176" s="205"/>
      <c r="T176" s="205"/>
      <c r="U176" s="205"/>
      <c r="V176" s="205"/>
      <c r="W176" s="206"/>
      <c r="X176" s="205"/>
      <c r="Y176" s="205"/>
      <c r="Z176" s="205"/>
      <c r="AA176" s="205" t="s">
        <v>12</v>
      </c>
      <c r="AB176" s="205"/>
      <c r="AC176" s="205"/>
      <c r="AD176" s="205"/>
      <c r="AE176" s="205"/>
      <c r="AF176" s="204"/>
      <c r="AG176" s="205"/>
      <c r="AH176" s="205"/>
      <c r="AI176" s="205"/>
      <c r="AJ176" s="205"/>
      <c r="AK176" s="205"/>
      <c r="AL176" s="205"/>
      <c r="AM176" s="206">
        <v>1</v>
      </c>
      <c r="AN176" s="205">
        <f t="shared" si="2"/>
        <v>1</v>
      </c>
    </row>
    <row r="177" spans="1:40" ht="23" x14ac:dyDescent="0.35">
      <c r="A177" s="203" t="s">
        <v>2822</v>
      </c>
      <c r="B177" s="203" t="s">
        <v>2733</v>
      </c>
      <c r="C177" s="203" t="s">
        <v>5</v>
      </c>
      <c r="D177" s="203"/>
      <c r="E177" s="211" t="s">
        <v>2734</v>
      </c>
      <c r="F177" s="228"/>
      <c r="G177" s="231"/>
      <c r="H177" s="234"/>
      <c r="I177" s="205"/>
      <c r="J177" s="205"/>
      <c r="K177" s="204"/>
      <c r="L177" s="205"/>
      <c r="M177" s="205"/>
      <c r="N177" s="205"/>
      <c r="O177" s="205"/>
      <c r="P177" s="205"/>
      <c r="Q177" s="205"/>
      <c r="R177" s="205"/>
      <c r="S177" s="205"/>
      <c r="T177" s="205"/>
      <c r="U177" s="205"/>
      <c r="V177" s="205"/>
      <c r="W177" s="206"/>
      <c r="X177" s="205"/>
      <c r="Y177" s="205"/>
      <c r="Z177" s="205"/>
      <c r="AA177" s="205"/>
      <c r="AB177" s="205"/>
      <c r="AC177" s="205"/>
      <c r="AD177" s="205"/>
      <c r="AE177" s="205"/>
      <c r="AF177" s="204"/>
      <c r="AG177" s="205"/>
      <c r="AH177" s="205"/>
      <c r="AI177" s="205"/>
      <c r="AJ177" s="205"/>
      <c r="AK177" s="205"/>
      <c r="AL177" s="205"/>
      <c r="AM177" s="206">
        <v>1</v>
      </c>
      <c r="AN177" s="205">
        <f t="shared" si="2"/>
        <v>1</v>
      </c>
    </row>
    <row r="178" spans="1:40" ht="23" x14ac:dyDescent="0.35">
      <c r="A178" s="203" t="s">
        <v>2823</v>
      </c>
      <c r="B178" s="203" t="s">
        <v>802</v>
      </c>
      <c r="C178" s="203" t="s">
        <v>131</v>
      </c>
      <c r="D178" s="203">
        <v>100</v>
      </c>
      <c r="E178" s="203" t="s">
        <v>1840</v>
      </c>
      <c r="F178" s="228"/>
      <c r="G178" s="231"/>
      <c r="H178" s="234"/>
      <c r="I178" s="205"/>
      <c r="J178" s="205"/>
      <c r="K178" s="204"/>
      <c r="L178" s="205"/>
      <c r="M178" s="205"/>
      <c r="N178" s="205"/>
      <c r="O178" s="205"/>
      <c r="P178" s="205"/>
      <c r="Q178" s="205"/>
      <c r="R178" s="205"/>
      <c r="S178" s="205"/>
      <c r="T178" s="205"/>
      <c r="U178" s="205"/>
      <c r="V178" s="205"/>
      <c r="W178" s="206"/>
      <c r="X178" s="205"/>
      <c r="Y178" s="205"/>
      <c r="Z178" s="205"/>
      <c r="AA178" s="205"/>
      <c r="AB178" s="205"/>
      <c r="AC178" s="205"/>
      <c r="AD178" s="205"/>
      <c r="AE178" s="205"/>
      <c r="AF178" s="204"/>
      <c r="AG178" s="205">
        <v>1</v>
      </c>
      <c r="AH178" s="205"/>
      <c r="AI178" s="205"/>
      <c r="AJ178" s="205"/>
      <c r="AK178" s="205"/>
      <c r="AL178" s="205"/>
      <c r="AM178" s="206"/>
      <c r="AN178" s="205">
        <f t="shared" si="2"/>
        <v>1</v>
      </c>
    </row>
    <row r="179" spans="1:40" ht="34.5" x14ac:dyDescent="0.35">
      <c r="A179" s="203" t="s">
        <v>2823</v>
      </c>
      <c r="B179" s="203" t="s">
        <v>1795</v>
      </c>
      <c r="C179" s="203" t="s">
        <v>131</v>
      </c>
      <c r="D179" s="203">
        <v>300</v>
      </c>
      <c r="E179" s="203" t="s">
        <v>1796</v>
      </c>
      <c r="F179" s="228"/>
      <c r="G179" s="231"/>
      <c r="H179" s="234"/>
      <c r="I179" s="205"/>
      <c r="J179" s="205"/>
      <c r="K179" s="204"/>
      <c r="L179" s="205"/>
      <c r="M179" s="205"/>
      <c r="N179" s="205"/>
      <c r="O179" s="205"/>
      <c r="P179" s="205"/>
      <c r="Q179" s="205"/>
      <c r="R179" s="205"/>
      <c r="S179" s="205"/>
      <c r="T179" s="205"/>
      <c r="U179" s="205"/>
      <c r="V179" s="205"/>
      <c r="W179" s="206"/>
      <c r="X179" s="205"/>
      <c r="Y179" s="205"/>
      <c r="Z179" s="205"/>
      <c r="AA179" s="205"/>
      <c r="AB179" s="205"/>
      <c r="AC179" s="205"/>
      <c r="AD179" s="205"/>
      <c r="AE179" s="205"/>
      <c r="AF179" s="204"/>
      <c r="AG179" s="205">
        <v>1</v>
      </c>
      <c r="AH179" s="205"/>
      <c r="AI179" s="205"/>
      <c r="AJ179" s="205"/>
      <c r="AK179" s="205"/>
      <c r="AL179" s="205"/>
      <c r="AM179" s="206"/>
      <c r="AN179" s="205">
        <f t="shared" si="2"/>
        <v>1</v>
      </c>
    </row>
    <row r="180" spans="1:40" ht="23" x14ac:dyDescent="0.35">
      <c r="A180" s="203" t="s">
        <v>2824</v>
      </c>
      <c r="B180" s="203" t="s">
        <v>118</v>
      </c>
      <c r="C180" s="203" t="s">
        <v>8</v>
      </c>
      <c r="D180" s="203">
        <v>300</v>
      </c>
      <c r="E180" s="203" t="s">
        <v>1396</v>
      </c>
      <c r="F180" s="228">
        <v>2</v>
      </c>
      <c r="G180" s="231"/>
      <c r="H180" s="234"/>
      <c r="I180" s="205"/>
      <c r="J180" s="205" t="s">
        <v>12</v>
      </c>
      <c r="K180" s="204"/>
      <c r="L180" s="205"/>
      <c r="M180" s="205" t="s">
        <v>12</v>
      </c>
      <c r="N180" s="205"/>
      <c r="O180" s="205"/>
      <c r="P180" s="205"/>
      <c r="Q180" s="205"/>
      <c r="R180" s="205"/>
      <c r="S180" s="205"/>
      <c r="T180" s="205"/>
      <c r="U180" s="205"/>
      <c r="V180" s="205"/>
      <c r="W180" s="206"/>
      <c r="X180" s="205"/>
      <c r="Y180" s="205"/>
      <c r="Z180" s="205"/>
      <c r="AA180" s="205"/>
      <c r="AB180" s="205"/>
      <c r="AC180" s="205"/>
      <c r="AD180" s="205"/>
      <c r="AE180" s="205"/>
      <c r="AF180" s="204"/>
      <c r="AG180" s="205"/>
      <c r="AH180" s="205">
        <v>1</v>
      </c>
      <c r="AI180" s="205"/>
      <c r="AJ180" s="205"/>
      <c r="AK180" s="205"/>
      <c r="AL180" s="205"/>
      <c r="AM180" s="206"/>
      <c r="AN180" s="205">
        <f t="shared" si="2"/>
        <v>1</v>
      </c>
    </row>
    <row r="181" spans="1:40" ht="34.5" x14ac:dyDescent="0.35">
      <c r="A181" s="203" t="s">
        <v>2824</v>
      </c>
      <c r="B181" s="203" t="s">
        <v>98</v>
      </c>
      <c r="C181" s="203" t="s">
        <v>8</v>
      </c>
      <c r="D181" s="203">
        <v>300</v>
      </c>
      <c r="E181" s="203" t="s">
        <v>1868</v>
      </c>
      <c r="F181" s="228"/>
      <c r="G181" s="231">
        <v>3</v>
      </c>
      <c r="H181" s="234"/>
      <c r="I181" s="205" t="s">
        <v>12</v>
      </c>
      <c r="J181" s="205"/>
      <c r="K181" s="204"/>
      <c r="L181" s="205"/>
      <c r="M181" s="205"/>
      <c r="N181" s="205"/>
      <c r="O181" s="205"/>
      <c r="P181" s="205" t="s">
        <v>12</v>
      </c>
      <c r="Q181" s="205"/>
      <c r="R181" s="205"/>
      <c r="S181" s="205"/>
      <c r="T181" s="205"/>
      <c r="U181" s="205"/>
      <c r="V181" s="205"/>
      <c r="W181" s="206"/>
      <c r="X181" s="205"/>
      <c r="Y181" s="205"/>
      <c r="Z181" s="205"/>
      <c r="AA181" s="205"/>
      <c r="AB181" s="205"/>
      <c r="AC181" s="205"/>
      <c r="AD181" s="205"/>
      <c r="AE181" s="205"/>
      <c r="AF181" s="204"/>
      <c r="AG181" s="205"/>
      <c r="AH181" s="205"/>
      <c r="AI181" s="205">
        <v>1</v>
      </c>
      <c r="AJ181" s="205"/>
      <c r="AK181" s="205"/>
      <c r="AL181" s="205"/>
      <c r="AM181" s="206"/>
      <c r="AN181" s="205">
        <f t="shared" si="2"/>
        <v>1</v>
      </c>
    </row>
    <row r="182" spans="1:40" ht="23" x14ac:dyDescent="0.35">
      <c r="A182" s="203" t="s">
        <v>2824</v>
      </c>
      <c r="B182" s="203" t="s">
        <v>20</v>
      </c>
      <c r="C182" s="203" t="s">
        <v>8</v>
      </c>
      <c r="D182" s="203">
        <v>200</v>
      </c>
      <c r="E182" s="203" t="s">
        <v>1398</v>
      </c>
      <c r="F182" s="228"/>
      <c r="G182" s="231">
        <v>1</v>
      </c>
      <c r="H182" s="234">
        <v>1</v>
      </c>
      <c r="I182" s="205" t="s">
        <v>12</v>
      </c>
      <c r="J182" s="205"/>
      <c r="K182" s="204"/>
      <c r="L182" s="205"/>
      <c r="M182" s="205"/>
      <c r="N182" s="205"/>
      <c r="O182" s="205"/>
      <c r="P182" s="205"/>
      <c r="Q182" s="205"/>
      <c r="R182" s="205"/>
      <c r="S182" s="205" t="s">
        <v>12</v>
      </c>
      <c r="T182" s="205"/>
      <c r="U182" s="205"/>
      <c r="V182" s="205"/>
      <c r="W182" s="206"/>
      <c r="X182" s="205"/>
      <c r="Y182" s="205"/>
      <c r="Z182" s="205"/>
      <c r="AA182" s="205"/>
      <c r="AB182" s="205"/>
      <c r="AC182" s="205"/>
      <c r="AD182" s="205"/>
      <c r="AE182" s="205"/>
      <c r="AF182" s="204">
        <v>1</v>
      </c>
      <c r="AG182" s="205"/>
      <c r="AH182" s="205"/>
      <c r="AI182" s="205"/>
      <c r="AJ182" s="205"/>
      <c r="AK182" s="205"/>
      <c r="AL182" s="205"/>
      <c r="AM182" s="206"/>
      <c r="AN182" s="205">
        <f t="shared" si="2"/>
        <v>1</v>
      </c>
    </row>
    <row r="183" spans="1:40" ht="23" x14ac:dyDescent="0.35">
      <c r="A183" s="203" t="s">
        <v>2824</v>
      </c>
      <c r="B183" s="203" t="s">
        <v>121</v>
      </c>
      <c r="C183" s="203" t="s">
        <v>8</v>
      </c>
      <c r="D183" s="203">
        <v>300</v>
      </c>
      <c r="E183" s="203" t="s">
        <v>1882</v>
      </c>
      <c r="F183" s="228">
        <v>2</v>
      </c>
      <c r="G183" s="231"/>
      <c r="H183" s="234"/>
      <c r="I183" s="205" t="s">
        <v>12</v>
      </c>
      <c r="J183" s="205" t="s">
        <v>12</v>
      </c>
      <c r="K183" s="204"/>
      <c r="L183" s="205"/>
      <c r="M183" s="205"/>
      <c r="N183" s="205"/>
      <c r="O183" s="205"/>
      <c r="P183" s="205"/>
      <c r="Q183" s="205"/>
      <c r="R183" s="205"/>
      <c r="S183" s="205"/>
      <c r="T183" s="205" t="s">
        <v>12</v>
      </c>
      <c r="U183" s="205"/>
      <c r="V183" s="205"/>
      <c r="W183" s="206"/>
      <c r="X183" s="205"/>
      <c r="Y183" s="205"/>
      <c r="Z183" s="205"/>
      <c r="AA183" s="205"/>
      <c r="AB183" s="205"/>
      <c r="AC183" s="205"/>
      <c r="AD183" s="205"/>
      <c r="AE183" s="205"/>
      <c r="AF183" s="204"/>
      <c r="AG183" s="205"/>
      <c r="AH183" s="205">
        <v>1</v>
      </c>
      <c r="AI183" s="205"/>
      <c r="AJ183" s="205"/>
      <c r="AK183" s="205"/>
      <c r="AL183" s="205"/>
      <c r="AM183" s="206"/>
      <c r="AN183" s="205">
        <f t="shared" si="2"/>
        <v>1</v>
      </c>
    </row>
    <row r="184" spans="1:40" ht="23" x14ac:dyDescent="0.35">
      <c r="A184" s="203" t="s">
        <v>2824</v>
      </c>
      <c r="B184" s="203" t="s">
        <v>1399</v>
      </c>
      <c r="C184" s="203" t="s">
        <v>131</v>
      </c>
      <c r="D184" s="203">
        <v>0</v>
      </c>
      <c r="E184" s="203" t="s">
        <v>1400</v>
      </c>
      <c r="F184" s="228"/>
      <c r="G184" s="231"/>
      <c r="H184" s="234"/>
      <c r="I184" s="205"/>
      <c r="J184" s="205"/>
      <c r="K184" s="204"/>
      <c r="L184" s="205"/>
      <c r="M184" s="205"/>
      <c r="N184" s="205"/>
      <c r="O184" s="205"/>
      <c r="P184" s="205"/>
      <c r="Q184" s="205"/>
      <c r="R184" s="205"/>
      <c r="S184" s="205"/>
      <c r="T184" s="205"/>
      <c r="U184" s="205"/>
      <c r="V184" s="205"/>
      <c r="W184" s="206"/>
      <c r="X184" s="205"/>
      <c r="Y184" s="205"/>
      <c r="Z184" s="205"/>
      <c r="AA184" s="205"/>
      <c r="AB184" s="205"/>
      <c r="AC184" s="205"/>
      <c r="AD184" s="205"/>
      <c r="AE184" s="205"/>
      <c r="AF184" s="204"/>
      <c r="AG184" s="205"/>
      <c r="AH184" s="205">
        <v>1</v>
      </c>
      <c r="AI184" s="205"/>
      <c r="AJ184" s="205"/>
      <c r="AK184" s="205"/>
      <c r="AL184" s="205"/>
      <c r="AM184" s="206"/>
      <c r="AN184" s="205">
        <f t="shared" si="2"/>
        <v>1</v>
      </c>
    </row>
    <row r="185" spans="1:40" ht="23" x14ac:dyDescent="0.35">
      <c r="A185" s="203" t="s">
        <v>2824</v>
      </c>
      <c r="B185" s="203" t="s">
        <v>1401</v>
      </c>
      <c r="C185" s="203" t="s">
        <v>131</v>
      </c>
      <c r="D185" s="203">
        <v>0</v>
      </c>
      <c r="E185" s="203" t="s">
        <v>1402</v>
      </c>
      <c r="F185" s="228"/>
      <c r="G185" s="231"/>
      <c r="H185" s="234"/>
      <c r="I185" s="205"/>
      <c r="J185" s="205"/>
      <c r="K185" s="204"/>
      <c r="L185" s="205"/>
      <c r="M185" s="205"/>
      <c r="N185" s="205"/>
      <c r="O185" s="205"/>
      <c r="P185" s="205"/>
      <c r="Q185" s="205"/>
      <c r="R185" s="205"/>
      <c r="S185" s="205"/>
      <c r="T185" s="205"/>
      <c r="U185" s="205"/>
      <c r="V185" s="205"/>
      <c r="W185" s="206"/>
      <c r="X185" s="205"/>
      <c r="Y185" s="205"/>
      <c r="Z185" s="205"/>
      <c r="AA185" s="205"/>
      <c r="AB185" s="205"/>
      <c r="AC185" s="205"/>
      <c r="AD185" s="205"/>
      <c r="AE185" s="205"/>
      <c r="AF185" s="204">
        <v>1</v>
      </c>
      <c r="AG185" s="205"/>
      <c r="AH185" s="205"/>
      <c r="AI185" s="205"/>
      <c r="AJ185" s="205"/>
      <c r="AK185" s="205"/>
      <c r="AL185" s="205"/>
      <c r="AM185" s="206"/>
      <c r="AN185" s="205">
        <f t="shared" si="2"/>
        <v>1</v>
      </c>
    </row>
    <row r="186" spans="1:40" ht="34.5" x14ac:dyDescent="0.35">
      <c r="A186" s="203" t="s">
        <v>2824</v>
      </c>
      <c r="B186" s="203" t="s">
        <v>148</v>
      </c>
      <c r="C186" s="203" t="s">
        <v>136</v>
      </c>
      <c r="D186" s="203">
        <v>500</v>
      </c>
      <c r="E186" s="203" t="s">
        <v>1397</v>
      </c>
      <c r="F186" s="228">
        <v>2</v>
      </c>
      <c r="G186" s="231"/>
      <c r="H186" s="234">
        <v>1</v>
      </c>
      <c r="I186" s="205" t="s">
        <v>12</v>
      </c>
      <c r="J186" s="205"/>
      <c r="K186" s="204"/>
      <c r="L186" s="205"/>
      <c r="M186" s="205"/>
      <c r="N186" s="205"/>
      <c r="O186" s="205"/>
      <c r="P186" s="205"/>
      <c r="Q186" s="205"/>
      <c r="R186" s="205"/>
      <c r="S186" s="205" t="s">
        <v>12</v>
      </c>
      <c r="T186" s="205" t="s">
        <v>12</v>
      </c>
      <c r="U186" s="205"/>
      <c r="V186" s="205"/>
      <c r="W186" s="206"/>
      <c r="X186" s="205"/>
      <c r="Y186" s="205"/>
      <c r="Z186" s="205"/>
      <c r="AA186" s="205"/>
      <c r="AB186" s="205"/>
      <c r="AC186" s="205"/>
      <c r="AD186" s="205"/>
      <c r="AE186" s="205"/>
      <c r="AF186" s="204"/>
      <c r="AG186" s="205"/>
      <c r="AH186" s="205"/>
      <c r="AI186" s="205"/>
      <c r="AJ186" s="205"/>
      <c r="AK186" s="205"/>
      <c r="AL186" s="205"/>
      <c r="AM186" s="206">
        <v>1</v>
      </c>
      <c r="AN186" s="205">
        <f t="shared" si="2"/>
        <v>1</v>
      </c>
    </row>
    <row r="187" spans="1:40" ht="34.5" x14ac:dyDescent="0.35">
      <c r="A187" s="203" t="s">
        <v>2056</v>
      </c>
      <c r="B187" s="203" t="s">
        <v>809</v>
      </c>
      <c r="C187" s="203" t="s">
        <v>8</v>
      </c>
      <c r="D187" s="203">
        <v>300</v>
      </c>
      <c r="E187" s="203" t="s">
        <v>1841</v>
      </c>
      <c r="F187" s="228">
        <v>1</v>
      </c>
      <c r="G187" s="231">
        <v>1</v>
      </c>
      <c r="H187" s="234"/>
      <c r="I187" s="205"/>
      <c r="J187" s="205"/>
      <c r="K187" s="204"/>
      <c r="L187" s="205"/>
      <c r="M187" s="205"/>
      <c r="N187" s="205"/>
      <c r="O187" s="205"/>
      <c r="P187" s="205" t="s">
        <v>12</v>
      </c>
      <c r="Q187" s="205"/>
      <c r="R187" s="205"/>
      <c r="S187" s="205"/>
      <c r="T187" s="205" t="s">
        <v>12</v>
      </c>
      <c r="U187" s="205"/>
      <c r="V187" s="205"/>
      <c r="W187" s="206"/>
      <c r="X187" s="205"/>
      <c r="Y187" s="205"/>
      <c r="Z187" s="205"/>
      <c r="AA187" s="205"/>
      <c r="AB187" s="205"/>
      <c r="AC187" s="205"/>
      <c r="AD187" s="205"/>
      <c r="AE187" s="205"/>
      <c r="AF187" s="204"/>
      <c r="AG187" s="205"/>
      <c r="AH187" s="205"/>
      <c r="AI187" s="205"/>
      <c r="AJ187" s="205"/>
      <c r="AK187" s="205">
        <v>1</v>
      </c>
      <c r="AL187" s="205"/>
      <c r="AM187" s="206"/>
      <c r="AN187" s="205">
        <f t="shared" si="2"/>
        <v>1</v>
      </c>
    </row>
    <row r="188" spans="1:40" ht="23" x14ac:dyDescent="0.35">
      <c r="A188" s="203" t="s">
        <v>2056</v>
      </c>
      <c r="B188" s="203" t="s">
        <v>7</v>
      </c>
      <c r="C188" s="203" t="s">
        <v>8</v>
      </c>
      <c r="D188" s="203">
        <v>100</v>
      </c>
      <c r="E188" s="203" t="s">
        <v>9</v>
      </c>
      <c r="F188" s="228">
        <v>1</v>
      </c>
      <c r="G188" s="231"/>
      <c r="H188" s="234"/>
      <c r="I188" s="205"/>
      <c r="J188" s="205"/>
      <c r="K188" s="204"/>
      <c r="L188" s="205"/>
      <c r="M188" s="205" t="s">
        <v>12</v>
      </c>
      <c r="N188" s="205"/>
      <c r="O188" s="205"/>
      <c r="P188" s="205"/>
      <c r="Q188" s="205"/>
      <c r="R188" s="205"/>
      <c r="S188" s="205"/>
      <c r="T188" s="205"/>
      <c r="U188" s="205"/>
      <c r="V188" s="205"/>
      <c r="W188" s="206"/>
      <c r="X188" s="205"/>
      <c r="Y188" s="205"/>
      <c r="Z188" s="205"/>
      <c r="AA188" s="205"/>
      <c r="AB188" s="205"/>
      <c r="AC188" s="205"/>
      <c r="AD188" s="205"/>
      <c r="AE188" s="205"/>
      <c r="AF188" s="204"/>
      <c r="AG188" s="205"/>
      <c r="AH188" s="205"/>
      <c r="AI188" s="205"/>
      <c r="AJ188" s="205"/>
      <c r="AK188" s="205">
        <v>2</v>
      </c>
      <c r="AL188" s="205"/>
      <c r="AM188" s="206"/>
      <c r="AN188" s="205">
        <f t="shared" si="2"/>
        <v>2</v>
      </c>
    </row>
    <row r="189" spans="1:40" ht="23" x14ac:dyDescent="0.35">
      <c r="A189" s="203" t="s">
        <v>2056</v>
      </c>
      <c r="B189" s="203" t="s">
        <v>592</v>
      </c>
      <c r="C189" s="203" t="s">
        <v>8</v>
      </c>
      <c r="D189" s="203">
        <v>300</v>
      </c>
      <c r="E189" s="203" t="s">
        <v>1887</v>
      </c>
      <c r="F189" s="228">
        <v>2</v>
      </c>
      <c r="G189" s="231"/>
      <c r="H189" s="234"/>
      <c r="I189" s="205"/>
      <c r="J189" s="205"/>
      <c r="K189" s="204"/>
      <c r="L189" s="205"/>
      <c r="M189" s="205" t="s">
        <v>12</v>
      </c>
      <c r="N189" s="205"/>
      <c r="O189" s="205"/>
      <c r="P189" s="205"/>
      <c r="Q189" s="205"/>
      <c r="R189" s="205"/>
      <c r="S189" s="205"/>
      <c r="T189" s="205"/>
      <c r="U189" s="205"/>
      <c r="V189" s="205"/>
      <c r="W189" s="206"/>
      <c r="X189" s="205"/>
      <c r="Y189" s="205"/>
      <c r="Z189" s="205"/>
      <c r="AA189" s="205"/>
      <c r="AB189" s="205"/>
      <c r="AC189" s="205"/>
      <c r="AD189" s="205"/>
      <c r="AE189" s="205"/>
      <c r="AF189" s="204"/>
      <c r="AG189" s="205"/>
      <c r="AH189" s="205"/>
      <c r="AI189" s="205"/>
      <c r="AJ189" s="205"/>
      <c r="AK189" s="205">
        <v>1</v>
      </c>
      <c r="AL189" s="205"/>
      <c r="AM189" s="206"/>
      <c r="AN189" s="205">
        <f t="shared" si="2"/>
        <v>1</v>
      </c>
    </row>
    <row r="190" spans="1:40" ht="23" x14ac:dyDescent="0.35">
      <c r="A190" s="203" t="s">
        <v>2056</v>
      </c>
      <c r="B190" s="203" t="s">
        <v>808</v>
      </c>
      <c r="C190" s="203" t="s">
        <v>8</v>
      </c>
      <c r="D190" s="203">
        <v>300</v>
      </c>
      <c r="E190" s="203" t="s">
        <v>1842</v>
      </c>
      <c r="F190" s="228"/>
      <c r="G190" s="231">
        <v>1</v>
      </c>
      <c r="H190" s="234">
        <v>2</v>
      </c>
      <c r="I190" s="205" t="s">
        <v>12</v>
      </c>
      <c r="J190" s="205"/>
      <c r="K190" s="204" t="s">
        <v>12</v>
      </c>
      <c r="L190" s="205"/>
      <c r="M190" s="205"/>
      <c r="N190" s="205"/>
      <c r="O190" s="205"/>
      <c r="P190" s="205"/>
      <c r="Q190" s="205"/>
      <c r="R190" s="205"/>
      <c r="S190" s="205"/>
      <c r="T190" s="205"/>
      <c r="U190" s="205"/>
      <c r="V190" s="205"/>
      <c r="W190" s="206"/>
      <c r="X190" s="205"/>
      <c r="Y190" s="205" t="s">
        <v>12</v>
      </c>
      <c r="Z190" s="205"/>
      <c r="AA190" s="205"/>
      <c r="AB190" s="205"/>
      <c r="AC190" s="205"/>
      <c r="AD190" s="205"/>
      <c r="AE190" s="205"/>
      <c r="AF190" s="204"/>
      <c r="AG190" s="205"/>
      <c r="AH190" s="205"/>
      <c r="AI190" s="205"/>
      <c r="AJ190" s="205"/>
      <c r="AK190" s="205">
        <v>1</v>
      </c>
      <c r="AL190" s="205"/>
      <c r="AM190" s="206"/>
      <c r="AN190" s="205">
        <f t="shared" si="2"/>
        <v>1</v>
      </c>
    </row>
    <row r="191" spans="1:40" ht="23" x14ac:dyDescent="0.35">
      <c r="A191" s="203" t="s">
        <v>2056</v>
      </c>
      <c r="B191" s="203" t="s">
        <v>805</v>
      </c>
      <c r="C191" s="203" t="s">
        <v>8</v>
      </c>
      <c r="D191" s="203">
        <v>200</v>
      </c>
      <c r="E191" s="203" t="s">
        <v>1843</v>
      </c>
      <c r="F191" s="228">
        <v>1</v>
      </c>
      <c r="G191" s="231"/>
      <c r="H191" s="234">
        <v>1</v>
      </c>
      <c r="I191" s="205"/>
      <c r="J191" s="205" t="s">
        <v>12</v>
      </c>
      <c r="K191" s="204"/>
      <c r="L191" s="205"/>
      <c r="M191" s="205"/>
      <c r="N191" s="205" t="s">
        <v>12</v>
      </c>
      <c r="O191" s="205"/>
      <c r="P191" s="205"/>
      <c r="Q191" s="205"/>
      <c r="R191" s="205"/>
      <c r="S191" s="205"/>
      <c r="T191" s="205"/>
      <c r="U191" s="205"/>
      <c r="V191" s="205"/>
      <c r="W191" s="206"/>
      <c r="X191" s="205"/>
      <c r="Y191" s="205"/>
      <c r="Z191" s="205"/>
      <c r="AA191" s="205"/>
      <c r="AB191" s="205"/>
      <c r="AC191" s="205"/>
      <c r="AD191" s="205"/>
      <c r="AE191" s="205"/>
      <c r="AF191" s="204"/>
      <c r="AG191" s="205"/>
      <c r="AH191" s="205"/>
      <c r="AI191" s="205"/>
      <c r="AJ191" s="205"/>
      <c r="AK191" s="205">
        <v>1</v>
      </c>
      <c r="AL191" s="205"/>
      <c r="AM191" s="206"/>
      <c r="AN191" s="205">
        <f t="shared" si="2"/>
        <v>1</v>
      </c>
    </row>
    <row r="192" spans="1:40" ht="34.5" x14ac:dyDescent="0.35">
      <c r="A192" s="203" t="s">
        <v>2056</v>
      </c>
      <c r="B192" s="203" t="s">
        <v>806</v>
      </c>
      <c r="C192" s="203" t="s">
        <v>8</v>
      </c>
      <c r="D192" s="203">
        <v>200</v>
      </c>
      <c r="E192" s="203" t="s">
        <v>807</v>
      </c>
      <c r="F192" s="228"/>
      <c r="G192" s="231"/>
      <c r="H192" s="234">
        <v>1</v>
      </c>
      <c r="I192" s="205"/>
      <c r="J192" s="205"/>
      <c r="K192" s="204"/>
      <c r="L192" s="205"/>
      <c r="M192" s="205"/>
      <c r="N192" s="205" t="s">
        <v>12</v>
      </c>
      <c r="O192" s="205"/>
      <c r="P192" s="205"/>
      <c r="Q192" s="205"/>
      <c r="R192" s="205"/>
      <c r="S192" s="205"/>
      <c r="T192" s="205"/>
      <c r="U192" s="205"/>
      <c r="V192" s="205"/>
      <c r="W192" s="206"/>
      <c r="X192" s="205"/>
      <c r="Y192" s="205"/>
      <c r="Z192" s="205"/>
      <c r="AA192" s="205"/>
      <c r="AB192" s="205"/>
      <c r="AC192" s="205"/>
      <c r="AD192" s="205"/>
      <c r="AE192" s="205"/>
      <c r="AF192" s="204"/>
      <c r="AG192" s="205"/>
      <c r="AH192" s="205"/>
      <c r="AI192" s="205"/>
      <c r="AJ192" s="205"/>
      <c r="AK192" s="205">
        <v>1</v>
      </c>
      <c r="AL192" s="205"/>
      <c r="AM192" s="206"/>
      <c r="AN192" s="205">
        <f t="shared" si="2"/>
        <v>1</v>
      </c>
    </row>
    <row r="193" spans="1:40" ht="34.5" x14ac:dyDescent="0.35">
      <c r="A193" s="203" t="s">
        <v>2056</v>
      </c>
      <c r="B193" s="203" t="s">
        <v>829</v>
      </c>
      <c r="C193" s="203" t="s">
        <v>736</v>
      </c>
      <c r="D193" s="203">
        <v>1600</v>
      </c>
      <c r="E193" s="203" t="s">
        <v>2700</v>
      </c>
      <c r="F193" s="228"/>
      <c r="G193" s="231"/>
      <c r="H193" s="234"/>
      <c r="I193" s="205"/>
      <c r="J193" s="205"/>
      <c r="K193" s="204"/>
      <c r="L193" s="205"/>
      <c r="M193" s="205"/>
      <c r="N193" s="205"/>
      <c r="O193" s="205"/>
      <c r="P193" s="205"/>
      <c r="Q193" s="205"/>
      <c r="R193" s="205"/>
      <c r="S193" s="205"/>
      <c r="T193" s="205"/>
      <c r="U193" s="205"/>
      <c r="V193" s="205"/>
      <c r="W193" s="206"/>
      <c r="X193" s="205"/>
      <c r="Y193" s="205"/>
      <c r="Z193" s="205"/>
      <c r="AA193" s="205"/>
      <c r="AB193" s="205"/>
      <c r="AC193" s="205"/>
      <c r="AD193" s="205"/>
      <c r="AE193" s="205"/>
      <c r="AF193" s="204"/>
      <c r="AG193" s="205"/>
      <c r="AH193" s="205"/>
      <c r="AI193" s="205"/>
      <c r="AJ193" s="205"/>
      <c r="AK193" s="205">
        <v>1</v>
      </c>
      <c r="AL193" s="205"/>
      <c r="AM193" s="206"/>
      <c r="AN193" s="205">
        <f t="shared" si="2"/>
        <v>1</v>
      </c>
    </row>
    <row r="194" spans="1:40" ht="23" x14ac:dyDescent="0.35">
      <c r="A194" s="203" t="s">
        <v>2056</v>
      </c>
      <c r="B194" s="203" t="s">
        <v>802</v>
      </c>
      <c r="C194" s="203" t="s">
        <v>131</v>
      </c>
      <c r="D194" s="203">
        <v>100</v>
      </c>
      <c r="E194" s="203" t="s">
        <v>1840</v>
      </c>
      <c r="F194" s="228"/>
      <c r="G194" s="231"/>
      <c r="H194" s="234"/>
      <c r="I194" s="205"/>
      <c r="J194" s="205"/>
      <c r="K194" s="204"/>
      <c r="L194" s="205"/>
      <c r="M194" s="205"/>
      <c r="N194" s="205"/>
      <c r="O194" s="205"/>
      <c r="P194" s="205"/>
      <c r="Q194" s="205"/>
      <c r="R194" s="205"/>
      <c r="S194" s="205"/>
      <c r="T194" s="205"/>
      <c r="U194" s="205"/>
      <c r="V194" s="205"/>
      <c r="W194" s="206"/>
      <c r="X194" s="205"/>
      <c r="Y194" s="205"/>
      <c r="Z194" s="205"/>
      <c r="AA194" s="205"/>
      <c r="AB194" s="205"/>
      <c r="AC194" s="205"/>
      <c r="AD194" s="205"/>
      <c r="AE194" s="205"/>
      <c r="AF194" s="204"/>
      <c r="AG194" s="205"/>
      <c r="AH194" s="205"/>
      <c r="AI194" s="205"/>
      <c r="AJ194" s="205"/>
      <c r="AK194" s="205">
        <v>2</v>
      </c>
      <c r="AL194" s="205"/>
      <c r="AM194" s="206"/>
      <c r="AN194" s="205">
        <f t="shared" ref="AN194:AN257" si="3">SUM(AF194:AM194)</f>
        <v>2</v>
      </c>
    </row>
    <row r="195" spans="1:40" ht="34.5" x14ac:dyDescent="0.35">
      <c r="A195" s="203" t="s">
        <v>2056</v>
      </c>
      <c r="B195" s="203" t="s">
        <v>803</v>
      </c>
      <c r="C195" s="203" t="s">
        <v>131</v>
      </c>
      <c r="D195" s="203">
        <v>500</v>
      </c>
      <c r="E195" s="203" t="s">
        <v>804</v>
      </c>
      <c r="F195" s="228"/>
      <c r="G195" s="231"/>
      <c r="H195" s="234"/>
      <c r="I195" s="205"/>
      <c r="J195" s="205"/>
      <c r="K195" s="204"/>
      <c r="L195" s="205"/>
      <c r="M195" s="205"/>
      <c r="N195" s="205"/>
      <c r="O195" s="205"/>
      <c r="P195" s="205"/>
      <c r="Q195" s="205"/>
      <c r="R195" s="205"/>
      <c r="S195" s="205"/>
      <c r="T195" s="205"/>
      <c r="U195" s="205"/>
      <c r="V195" s="205"/>
      <c r="W195" s="206"/>
      <c r="X195" s="205"/>
      <c r="Y195" s="205"/>
      <c r="Z195" s="205"/>
      <c r="AA195" s="205"/>
      <c r="AB195" s="205"/>
      <c r="AC195" s="205"/>
      <c r="AD195" s="205"/>
      <c r="AE195" s="205"/>
      <c r="AF195" s="204"/>
      <c r="AG195" s="205"/>
      <c r="AH195" s="205"/>
      <c r="AI195" s="205"/>
      <c r="AJ195" s="205"/>
      <c r="AK195" s="205">
        <v>1</v>
      </c>
      <c r="AL195" s="205"/>
      <c r="AM195" s="206"/>
      <c r="AN195" s="205">
        <f t="shared" si="3"/>
        <v>1</v>
      </c>
    </row>
    <row r="196" spans="1:40" ht="23" x14ac:dyDescent="0.35">
      <c r="A196" s="203" t="s">
        <v>2056</v>
      </c>
      <c r="B196" s="203" t="s">
        <v>820</v>
      </c>
      <c r="C196" s="203" t="s">
        <v>131</v>
      </c>
      <c r="D196" s="203">
        <v>0</v>
      </c>
      <c r="E196" s="203" t="s">
        <v>1844</v>
      </c>
      <c r="F196" s="228"/>
      <c r="G196" s="231"/>
      <c r="H196" s="234">
        <v>1</v>
      </c>
      <c r="I196" s="205"/>
      <c r="J196" s="205"/>
      <c r="K196" s="204"/>
      <c r="L196" s="205"/>
      <c r="M196" s="205"/>
      <c r="N196" s="205"/>
      <c r="O196" s="205"/>
      <c r="P196" s="205"/>
      <c r="Q196" s="205"/>
      <c r="R196" s="205"/>
      <c r="S196" s="205"/>
      <c r="T196" s="205"/>
      <c r="U196" s="205"/>
      <c r="V196" s="205"/>
      <c r="W196" s="206"/>
      <c r="X196" s="205"/>
      <c r="Y196" s="205"/>
      <c r="Z196" s="205"/>
      <c r="AA196" s="205"/>
      <c r="AB196" s="205"/>
      <c r="AC196" s="205"/>
      <c r="AD196" s="205"/>
      <c r="AE196" s="205"/>
      <c r="AF196" s="204"/>
      <c r="AG196" s="205"/>
      <c r="AH196" s="205"/>
      <c r="AI196" s="205"/>
      <c r="AJ196" s="205"/>
      <c r="AK196" s="205">
        <v>1</v>
      </c>
      <c r="AL196" s="205"/>
      <c r="AM196" s="206"/>
      <c r="AN196" s="205">
        <f t="shared" si="3"/>
        <v>1</v>
      </c>
    </row>
    <row r="197" spans="1:40" ht="23" x14ac:dyDescent="0.35">
      <c r="A197" s="203" t="s">
        <v>2056</v>
      </c>
      <c r="B197" s="203" t="s">
        <v>818</v>
      </c>
      <c r="C197" s="203" t="s">
        <v>131</v>
      </c>
      <c r="D197" s="203">
        <v>1200</v>
      </c>
      <c r="E197" s="203" t="s">
        <v>819</v>
      </c>
      <c r="F197" s="228"/>
      <c r="G197" s="231"/>
      <c r="H197" s="234">
        <v>1</v>
      </c>
      <c r="I197" s="205"/>
      <c r="J197" s="205"/>
      <c r="K197" s="204" t="s">
        <v>12</v>
      </c>
      <c r="L197" s="205"/>
      <c r="M197" s="205"/>
      <c r="N197" s="205"/>
      <c r="O197" s="205"/>
      <c r="P197" s="205"/>
      <c r="Q197" s="205"/>
      <c r="R197" s="205"/>
      <c r="S197" s="205"/>
      <c r="T197" s="205"/>
      <c r="U197" s="205"/>
      <c r="V197" s="205"/>
      <c r="W197" s="206"/>
      <c r="X197" s="205"/>
      <c r="Y197" s="205"/>
      <c r="Z197" s="205"/>
      <c r="AA197" s="205"/>
      <c r="AB197" s="205"/>
      <c r="AC197" s="205"/>
      <c r="AD197" s="205"/>
      <c r="AE197" s="205"/>
      <c r="AF197" s="204"/>
      <c r="AG197" s="205"/>
      <c r="AH197" s="205"/>
      <c r="AI197" s="205"/>
      <c r="AJ197" s="205"/>
      <c r="AK197" s="205">
        <v>1</v>
      </c>
      <c r="AL197" s="205"/>
      <c r="AM197" s="206"/>
      <c r="AN197" s="205">
        <f t="shared" si="3"/>
        <v>1</v>
      </c>
    </row>
    <row r="198" spans="1:40" ht="23" x14ac:dyDescent="0.35">
      <c r="A198" s="203" t="s">
        <v>2056</v>
      </c>
      <c r="B198" s="203" t="s">
        <v>817</v>
      </c>
      <c r="C198" s="203" t="s">
        <v>131</v>
      </c>
      <c r="D198" s="203">
        <v>800</v>
      </c>
      <c r="E198" s="203" t="s">
        <v>1839</v>
      </c>
      <c r="F198" s="228"/>
      <c r="G198" s="231"/>
      <c r="H198" s="234"/>
      <c r="I198" s="205"/>
      <c r="J198" s="205"/>
      <c r="K198" s="204"/>
      <c r="L198" s="205"/>
      <c r="M198" s="205"/>
      <c r="N198" s="205"/>
      <c r="O198" s="205"/>
      <c r="P198" s="205"/>
      <c r="Q198" s="205"/>
      <c r="R198" s="205"/>
      <c r="S198" s="205"/>
      <c r="T198" s="205"/>
      <c r="U198" s="205"/>
      <c r="V198" s="205"/>
      <c r="W198" s="206"/>
      <c r="X198" s="205"/>
      <c r="Y198" s="205"/>
      <c r="Z198" s="205"/>
      <c r="AA198" s="205"/>
      <c r="AB198" s="205"/>
      <c r="AC198" s="205"/>
      <c r="AD198" s="205"/>
      <c r="AE198" s="205"/>
      <c r="AF198" s="204"/>
      <c r="AG198" s="205"/>
      <c r="AH198" s="205"/>
      <c r="AI198" s="205"/>
      <c r="AJ198" s="205"/>
      <c r="AK198" s="205">
        <v>1</v>
      </c>
      <c r="AL198" s="205"/>
      <c r="AM198" s="206"/>
      <c r="AN198" s="205">
        <f t="shared" si="3"/>
        <v>1</v>
      </c>
    </row>
    <row r="199" spans="1:40" ht="23" x14ac:dyDescent="0.35">
      <c r="A199" s="203" t="s">
        <v>2056</v>
      </c>
      <c r="B199" s="203" t="s">
        <v>816</v>
      </c>
      <c r="C199" s="203" t="s">
        <v>131</v>
      </c>
      <c r="D199" s="203">
        <v>800</v>
      </c>
      <c r="E199" s="203" t="s">
        <v>1484</v>
      </c>
      <c r="F199" s="228">
        <v>2</v>
      </c>
      <c r="G199" s="231"/>
      <c r="H199" s="234"/>
      <c r="I199" s="205"/>
      <c r="J199" s="205"/>
      <c r="K199" s="204"/>
      <c r="L199" s="205"/>
      <c r="M199" s="205"/>
      <c r="N199" s="205"/>
      <c r="O199" s="205"/>
      <c r="P199" s="205"/>
      <c r="Q199" s="205"/>
      <c r="R199" s="205"/>
      <c r="S199" s="205"/>
      <c r="T199" s="205"/>
      <c r="U199" s="205"/>
      <c r="V199" s="205"/>
      <c r="W199" s="206"/>
      <c r="X199" s="205"/>
      <c r="Y199" s="205"/>
      <c r="Z199" s="205"/>
      <c r="AA199" s="205"/>
      <c r="AB199" s="205"/>
      <c r="AC199" s="205" t="s">
        <v>12</v>
      </c>
      <c r="AD199" s="205"/>
      <c r="AE199" s="205"/>
      <c r="AF199" s="204"/>
      <c r="AG199" s="205"/>
      <c r="AH199" s="205"/>
      <c r="AI199" s="205"/>
      <c r="AJ199" s="205"/>
      <c r="AK199" s="205">
        <v>1</v>
      </c>
      <c r="AL199" s="205"/>
      <c r="AM199" s="206"/>
      <c r="AN199" s="205">
        <f t="shared" si="3"/>
        <v>1</v>
      </c>
    </row>
    <row r="200" spans="1:40" ht="23" x14ac:dyDescent="0.35">
      <c r="A200" s="203" t="s">
        <v>2056</v>
      </c>
      <c r="B200" s="203" t="s">
        <v>814</v>
      </c>
      <c r="C200" s="203" t="s">
        <v>131</v>
      </c>
      <c r="D200" s="203">
        <v>200</v>
      </c>
      <c r="E200" s="203" t="s">
        <v>815</v>
      </c>
      <c r="F200" s="228"/>
      <c r="G200" s="231"/>
      <c r="H200" s="234"/>
      <c r="I200" s="205"/>
      <c r="J200" s="205"/>
      <c r="K200" s="204"/>
      <c r="L200" s="205"/>
      <c r="M200" s="205"/>
      <c r="N200" s="205"/>
      <c r="O200" s="205"/>
      <c r="P200" s="205"/>
      <c r="Q200" s="205"/>
      <c r="R200" s="205"/>
      <c r="S200" s="205"/>
      <c r="T200" s="205"/>
      <c r="U200" s="205"/>
      <c r="V200" s="205"/>
      <c r="W200" s="206"/>
      <c r="X200" s="205"/>
      <c r="Y200" s="205"/>
      <c r="Z200" s="205"/>
      <c r="AA200" s="205"/>
      <c r="AB200" s="205"/>
      <c r="AC200" s="205"/>
      <c r="AD200" s="205"/>
      <c r="AE200" s="205"/>
      <c r="AF200" s="204"/>
      <c r="AG200" s="205"/>
      <c r="AH200" s="205"/>
      <c r="AI200" s="205"/>
      <c r="AJ200" s="205"/>
      <c r="AK200" s="205">
        <v>1</v>
      </c>
      <c r="AL200" s="205"/>
      <c r="AM200" s="206"/>
      <c r="AN200" s="205">
        <f t="shared" si="3"/>
        <v>1</v>
      </c>
    </row>
    <row r="201" spans="1:40" ht="23" x14ac:dyDescent="0.35">
      <c r="A201" s="203" t="s">
        <v>2056</v>
      </c>
      <c r="B201" s="203" t="s">
        <v>812</v>
      </c>
      <c r="C201" s="203" t="s">
        <v>131</v>
      </c>
      <c r="D201" s="203">
        <v>1400</v>
      </c>
      <c r="E201" s="203" t="s">
        <v>813</v>
      </c>
      <c r="F201" s="228"/>
      <c r="G201" s="231"/>
      <c r="H201" s="234"/>
      <c r="I201" s="205"/>
      <c r="J201" s="205"/>
      <c r="K201" s="204"/>
      <c r="L201" s="205"/>
      <c r="M201" s="205"/>
      <c r="N201" s="205"/>
      <c r="O201" s="205"/>
      <c r="P201" s="205"/>
      <c r="Q201" s="205"/>
      <c r="R201" s="205"/>
      <c r="S201" s="205"/>
      <c r="T201" s="205"/>
      <c r="U201" s="205"/>
      <c r="V201" s="205"/>
      <c r="W201" s="206"/>
      <c r="X201" s="205"/>
      <c r="Y201" s="205"/>
      <c r="Z201" s="205"/>
      <c r="AA201" s="205" t="s">
        <v>12</v>
      </c>
      <c r="AB201" s="205"/>
      <c r="AC201" s="205"/>
      <c r="AD201" s="205"/>
      <c r="AE201" s="205"/>
      <c r="AF201" s="204"/>
      <c r="AG201" s="205"/>
      <c r="AH201" s="205"/>
      <c r="AI201" s="205"/>
      <c r="AJ201" s="205"/>
      <c r="AK201" s="205">
        <v>1</v>
      </c>
      <c r="AL201" s="205"/>
      <c r="AM201" s="206"/>
      <c r="AN201" s="205">
        <f t="shared" si="3"/>
        <v>1</v>
      </c>
    </row>
    <row r="202" spans="1:40" ht="23" x14ac:dyDescent="0.35">
      <c r="A202" s="203" t="s">
        <v>2056</v>
      </c>
      <c r="B202" s="203" t="s">
        <v>1828</v>
      </c>
      <c r="C202" s="203" t="s">
        <v>131</v>
      </c>
      <c r="D202" s="203">
        <v>1000</v>
      </c>
      <c r="E202" s="203" t="s">
        <v>1836</v>
      </c>
      <c r="F202" s="228"/>
      <c r="G202" s="231"/>
      <c r="H202" s="234"/>
      <c r="I202" s="205"/>
      <c r="J202" s="205"/>
      <c r="K202" s="204"/>
      <c r="L202" s="205"/>
      <c r="M202" s="205"/>
      <c r="N202" s="205"/>
      <c r="O202" s="205"/>
      <c r="P202" s="205"/>
      <c r="Q202" s="205"/>
      <c r="R202" s="205"/>
      <c r="S202" s="205"/>
      <c r="T202" s="205"/>
      <c r="U202" s="205"/>
      <c r="V202" s="205"/>
      <c r="W202" s="206"/>
      <c r="X202" s="205" t="s">
        <v>12</v>
      </c>
      <c r="Y202" s="205"/>
      <c r="Z202" s="205"/>
      <c r="AA202" s="205"/>
      <c r="AB202" s="205"/>
      <c r="AC202" s="205"/>
      <c r="AD202" s="205"/>
      <c r="AE202" s="205"/>
      <c r="AF202" s="204"/>
      <c r="AG202" s="205"/>
      <c r="AH202" s="205"/>
      <c r="AI202" s="205"/>
      <c r="AJ202" s="205"/>
      <c r="AK202" s="205">
        <v>1</v>
      </c>
      <c r="AL202" s="205"/>
      <c r="AM202" s="206"/>
      <c r="AN202" s="205">
        <f t="shared" si="3"/>
        <v>1</v>
      </c>
    </row>
    <row r="203" spans="1:40" ht="23" x14ac:dyDescent="0.35">
      <c r="A203" s="203" t="s">
        <v>2056</v>
      </c>
      <c r="B203" s="203" t="s">
        <v>810</v>
      </c>
      <c r="C203" s="203" t="s">
        <v>131</v>
      </c>
      <c r="D203" s="203">
        <v>1000</v>
      </c>
      <c r="E203" s="203" t="s">
        <v>811</v>
      </c>
      <c r="F203" s="228">
        <v>2</v>
      </c>
      <c r="G203" s="231"/>
      <c r="H203" s="234"/>
      <c r="I203" s="205"/>
      <c r="J203" s="205"/>
      <c r="K203" s="204"/>
      <c r="L203" s="205"/>
      <c r="M203" s="205"/>
      <c r="N203" s="205"/>
      <c r="O203" s="205"/>
      <c r="P203" s="205"/>
      <c r="Q203" s="205"/>
      <c r="R203" s="205"/>
      <c r="S203" s="205"/>
      <c r="T203" s="205"/>
      <c r="U203" s="205"/>
      <c r="V203" s="205"/>
      <c r="W203" s="206"/>
      <c r="X203" s="205"/>
      <c r="Y203" s="205"/>
      <c r="Z203" s="205"/>
      <c r="AA203" s="205"/>
      <c r="AB203" s="205"/>
      <c r="AC203" s="205"/>
      <c r="AD203" s="205"/>
      <c r="AE203" s="205"/>
      <c r="AF203" s="204"/>
      <c r="AG203" s="205"/>
      <c r="AH203" s="205"/>
      <c r="AI203" s="205"/>
      <c r="AJ203" s="205"/>
      <c r="AK203" s="205">
        <v>1</v>
      </c>
      <c r="AL203" s="205"/>
      <c r="AM203" s="206"/>
      <c r="AN203" s="205">
        <f t="shared" si="3"/>
        <v>1</v>
      </c>
    </row>
    <row r="204" spans="1:40" ht="23" x14ac:dyDescent="0.35">
      <c r="A204" s="203" t="s">
        <v>2056</v>
      </c>
      <c r="B204" s="203" t="s">
        <v>800</v>
      </c>
      <c r="C204" s="203" t="s">
        <v>136</v>
      </c>
      <c r="D204" s="203"/>
      <c r="E204" s="203" t="s">
        <v>801</v>
      </c>
      <c r="F204" s="228">
        <v>1</v>
      </c>
      <c r="G204" s="231"/>
      <c r="H204" s="234">
        <v>2</v>
      </c>
      <c r="I204" s="205"/>
      <c r="J204" s="205"/>
      <c r="K204" s="204"/>
      <c r="L204" s="205"/>
      <c r="M204" s="205"/>
      <c r="N204" s="205"/>
      <c r="O204" s="205"/>
      <c r="P204" s="205"/>
      <c r="Q204" s="205"/>
      <c r="R204" s="205"/>
      <c r="S204" s="205"/>
      <c r="T204" s="205"/>
      <c r="U204" s="205"/>
      <c r="V204" s="205"/>
      <c r="W204" s="206"/>
      <c r="X204" s="205" t="s">
        <v>12</v>
      </c>
      <c r="Y204" s="205" t="s">
        <v>12</v>
      </c>
      <c r="Z204" s="205"/>
      <c r="AA204" s="205"/>
      <c r="AB204" s="205"/>
      <c r="AC204" s="205"/>
      <c r="AD204" s="205"/>
      <c r="AE204" s="205"/>
      <c r="AF204" s="204"/>
      <c r="AG204" s="205"/>
      <c r="AH204" s="205"/>
      <c r="AI204" s="205"/>
      <c r="AJ204" s="205"/>
      <c r="AK204" s="205"/>
      <c r="AL204" s="205"/>
      <c r="AM204" s="206">
        <v>1</v>
      </c>
      <c r="AN204" s="205">
        <f t="shared" si="3"/>
        <v>1</v>
      </c>
    </row>
    <row r="205" spans="1:40" ht="23" x14ac:dyDescent="0.35">
      <c r="A205" s="203" t="s">
        <v>2056</v>
      </c>
      <c r="B205" s="203" t="s">
        <v>798</v>
      </c>
      <c r="C205" s="203" t="s">
        <v>136</v>
      </c>
      <c r="D205" s="203"/>
      <c r="E205" s="203" t="s">
        <v>799</v>
      </c>
      <c r="F205" s="228">
        <v>1</v>
      </c>
      <c r="G205" s="231">
        <v>2</v>
      </c>
      <c r="H205" s="234"/>
      <c r="I205" s="205" t="s">
        <v>12</v>
      </c>
      <c r="J205" s="205"/>
      <c r="K205" s="204"/>
      <c r="L205" s="205"/>
      <c r="M205" s="205"/>
      <c r="N205" s="205"/>
      <c r="O205" s="205"/>
      <c r="P205" s="205" t="s">
        <v>12</v>
      </c>
      <c r="Q205" s="205" t="s">
        <v>12</v>
      </c>
      <c r="R205" s="205"/>
      <c r="S205" s="205"/>
      <c r="T205" s="205"/>
      <c r="U205" s="205"/>
      <c r="V205" s="205"/>
      <c r="W205" s="206"/>
      <c r="X205" s="205"/>
      <c r="Y205" s="205"/>
      <c r="Z205" s="205"/>
      <c r="AA205" s="205"/>
      <c r="AB205" s="205"/>
      <c r="AC205" s="205"/>
      <c r="AD205" s="205"/>
      <c r="AE205" s="205"/>
      <c r="AF205" s="204"/>
      <c r="AG205" s="205"/>
      <c r="AH205" s="205"/>
      <c r="AI205" s="205"/>
      <c r="AJ205" s="205"/>
      <c r="AK205" s="205"/>
      <c r="AL205" s="205"/>
      <c r="AM205" s="206">
        <v>1</v>
      </c>
      <c r="AN205" s="205">
        <f t="shared" si="3"/>
        <v>1</v>
      </c>
    </row>
    <row r="206" spans="1:40" ht="34.5" x14ac:dyDescent="0.35">
      <c r="A206" s="203" t="s">
        <v>2056</v>
      </c>
      <c r="B206" s="203" t="s">
        <v>821</v>
      </c>
      <c r="C206" s="203" t="s">
        <v>5</v>
      </c>
      <c r="D206" s="203">
        <v>400</v>
      </c>
      <c r="E206" s="203" t="s">
        <v>822</v>
      </c>
      <c r="F206" s="228"/>
      <c r="G206" s="231"/>
      <c r="H206" s="234"/>
      <c r="I206" s="205"/>
      <c r="J206" s="205"/>
      <c r="K206" s="204"/>
      <c r="L206" s="205"/>
      <c r="M206" s="205"/>
      <c r="N206" s="205"/>
      <c r="O206" s="205"/>
      <c r="P206" s="205"/>
      <c r="Q206" s="205"/>
      <c r="R206" s="205"/>
      <c r="S206" s="205"/>
      <c r="T206" s="205"/>
      <c r="U206" s="205"/>
      <c r="V206" s="205"/>
      <c r="W206" s="206"/>
      <c r="X206" s="205"/>
      <c r="Y206" s="205"/>
      <c r="Z206" s="205"/>
      <c r="AA206" s="205"/>
      <c r="AB206" s="205"/>
      <c r="AC206" s="205"/>
      <c r="AD206" s="205"/>
      <c r="AE206" s="205"/>
      <c r="AF206" s="204"/>
      <c r="AG206" s="205"/>
      <c r="AH206" s="205"/>
      <c r="AI206" s="205"/>
      <c r="AJ206" s="205"/>
      <c r="AK206" s="205">
        <v>2</v>
      </c>
      <c r="AL206" s="205"/>
      <c r="AM206" s="206"/>
      <c r="AN206" s="205">
        <f t="shared" si="3"/>
        <v>2</v>
      </c>
    </row>
    <row r="207" spans="1:40" ht="23" x14ac:dyDescent="0.35">
      <c r="A207" s="203" t="s">
        <v>2056</v>
      </c>
      <c r="B207" s="203" t="s">
        <v>825</v>
      </c>
      <c r="C207" s="203" t="s">
        <v>5</v>
      </c>
      <c r="D207" s="203">
        <v>800</v>
      </c>
      <c r="E207" s="203" t="s">
        <v>826</v>
      </c>
      <c r="F207" s="228"/>
      <c r="G207" s="231"/>
      <c r="H207" s="234"/>
      <c r="I207" s="205"/>
      <c r="J207" s="205"/>
      <c r="K207" s="204"/>
      <c r="L207" s="205"/>
      <c r="M207" s="205"/>
      <c r="N207" s="205"/>
      <c r="O207" s="205"/>
      <c r="P207" s="205"/>
      <c r="Q207" s="205"/>
      <c r="R207" s="205"/>
      <c r="S207" s="205"/>
      <c r="T207" s="205"/>
      <c r="U207" s="205"/>
      <c r="V207" s="205"/>
      <c r="W207" s="206"/>
      <c r="X207" s="205"/>
      <c r="Y207" s="205"/>
      <c r="Z207" s="205"/>
      <c r="AA207" s="205"/>
      <c r="AB207" s="205"/>
      <c r="AC207" s="205"/>
      <c r="AD207" s="205"/>
      <c r="AE207" s="205"/>
      <c r="AF207" s="204"/>
      <c r="AG207" s="205"/>
      <c r="AH207" s="205"/>
      <c r="AI207" s="205"/>
      <c r="AJ207" s="205"/>
      <c r="AK207" s="205">
        <v>1</v>
      </c>
      <c r="AL207" s="205"/>
      <c r="AM207" s="206"/>
      <c r="AN207" s="205">
        <f t="shared" si="3"/>
        <v>1</v>
      </c>
    </row>
    <row r="208" spans="1:40" ht="23" x14ac:dyDescent="0.35">
      <c r="A208" s="203" t="s">
        <v>2056</v>
      </c>
      <c r="B208" s="203" t="s">
        <v>827</v>
      </c>
      <c r="C208" s="203" t="s">
        <v>5</v>
      </c>
      <c r="D208" s="203">
        <v>600</v>
      </c>
      <c r="E208" s="203" t="s">
        <v>828</v>
      </c>
      <c r="F208" s="228"/>
      <c r="G208" s="231"/>
      <c r="H208" s="234"/>
      <c r="I208" s="205"/>
      <c r="J208" s="205"/>
      <c r="K208" s="204"/>
      <c r="L208" s="205"/>
      <c r="M208" s="205"/>
      <c r="N208" s="205"/>
      <c r="O208" s="205"/>
      <c r="P208" s="205"/>
      <c r="Q208" s="205"/>
      <c r="R208" s="205"/>
      <c r="S208" s="205"/>
      <c r="T208" s="205"/>
      <c r="U208" s="205"/>
      <c r="V208" s="205"/>
      <c r="W208" s="206"/>
      <c r="X208" s="205"/>
      <c r="Y208" s="205"/>
      <c r="Z208" s="205"/>
      <c r="AA208" s="205"/>
      <c r="AB208" s="205"/>
      <c r="AC208" s="205"/>
      <c r="AD208" s="205"/>
      <c r="AE208" s="205"/>
      <c r="AF208" s="204"/>
      <c r="AG208" s="205"/>
      <c r="AH208" s="205"/>
      <c r="AI208" s="205"/>
      <c r="AJ208" s="205"/>
      <c r="AK208" s="205">
        <v>1</v>
      </c>
      <c r="AL208" s="205"/>
      <c r="AM208" s="206"/>
      <c r="AN208" s="205">
        <f t="shared" si="3"/>
        <v>1</v>
      </c>
    </row>
    <row r="209" spans="1:40" ht="23" x14ac:dyDescent="0.35">
      <c r="A209" s="203" t="s">
        <v>2056</v>
      </c>
      <c r="B209" s="203" t="s">
        <v>823</v>
      </c>
      <c r="C209" s="203" t="s">
        <v>5</v>
      </c>
      <c r="D209" s="203">
        <v>600</v>
      </c>
      <c r="E209" s="203" t="s">
        <v>824</v>
      </c>
      <c r="F209" s="228"/>
      <c r="G209" s="231"/>
      <c r="H209" s="234"/>
      <c r="I209" s="205"/>
      <c r="J209" s="205"/>
      <c r="K209" s="204"/>
      <c r="L209" s="205"/>
      <c r="M209" s="205"/>
      <c r="N209" s="205"/>
      <c r="O209" s="205"/>
      <c r="P209" s="205"/>
      <c r="Q209" s="205"/>
      <c r="R209" s="205"/>
      <c r="S209" s="205"/>
      <c r="T209" s="205"/>
      <c r="U209" s="205"/>
      <c r="V209" s="205"/>
      <c r="W209" s="206"/>
      <c r="X209" s="205"/>
      <c r="Y209" s="205"/>
      <c r="Z209" s="205"/>
      <c r="AA209" s="205"/>
      <c r="AB209" s="205"/>
      <c r="AC209" s="205"/>
      <c r="AD209" s="205"/>
      <c r="AE209" s="205"/>
      <c r="AF209" s="204"/>
      <c r="AG209" s="205"/>
      <c r="AH209" s="205"/>
      <c r="AI209" s="205"/>
      <c r="AJ209" s="205"/>
      <c r="AK209" s="205">
        <v>2</v>
      </c>
      <c r="AL209" s="205"/>
      <c r="AM209" s="206"/>
      <c r="AN209" s="205">
        <f t="shared" si="3"/>
        <v>2</v>
      </c>
    </row>
    <row r="210" spans="1:40" ht="23" x14ac:dyDescent="0.35">
      <c r="A210" s="203" t="s">
        <v>2055</v>
      </c>
      <c r="B210" s="203" t="s">
        <v>1463</v>
      </c>
      <c r="C210" s="203" t="s">
        <v>8</v>
      </c>
      <c r="D210" s="203">
        <v>200</v>
      </c>
      <c r="E210" s="203" t="s">
        <v>1474</v>
      </c>
      <c r="F210" s="228">
        <v>1</v>
      </c>
      <c r="G210" s="231"/>
      <c r="H210" s="234">
        <v>1</v>
      </c>
      <c r="I210" s="205"/>
      <c r="J210" s="205" t="s">
        <v>12</v>
      </c>
      <c r="K210" s="204"/>
      <c r="L210" s="205"/>
      <c r="M210" s="205"/>
      <c r="N210" s="205"/>
      <c r="O210" s="205"/>
      <c r="P210" s="205"/>
      <c r="Q210" s="205"/>
      <c r="R210" s="205" t="s">
        <v>12</v>
      </c>
      <c r="S210" s="205"/>
      <c r="T210" s="205"/>
      <c r="U210" s="205"/>
      <c r="V210" s="205"/>
      <c r="W210" s="206"/>
      <c r="X210" s="205"/>
      <c r="Y210" s="205"/>
      <c r="Z210" s="205"/>
      <c r="AA210" s="205"/>
      <c r="AB210" s="205"/>
      <c r="AC210" s="205"/>
      <c r="AD210" s="205"/>
      <c r="AE210" s="205"/>
      <c r="AF210" s="204"/>
      <c r="AG210" s="205"/>
      <c r="AH210" s="205">
        <v>1</v>
      </c>
      <c r="AI210" s="205"/>
      <c r="AJ210" s="205"/>
      <c r="AK210" s="205"/>
      <c r="AL210" s="205"/>
      <c r="AM210" s="206"/>
      <c r="AN210" s="205">
        <f t="shared" si="3"/>
        <v>1</v>
      </c>
    </row>
    <row r="211" spans="1:40" ht="23" x14ac:dyDescent="0.35">
      <c r="A211" s="203" t="s">
        <v>2055</v>
      </c>
      <c r="B211" s="203" t="s">
        <v>1463</v>
      </c>
      <c r="C211" s="203" t="s">
        <v>8</v>
      </c>
      <c r="D211" s="203">
        <v>200</v>
      </c>
      <c r="E211" s="203" t="s">
        <v>1474</v>
      </c>
      <c r="F211" s="228">
        <v>1</v>
      </c>
      <c r="G211" s="231"/>
      <c r="H211" s="234">
        <v>1</v>
      </c>
      <c r="I211" s="205"/>
      <c r="J211" s="205" t="s">
        <v>12</v>
      </c>
      <c r="K211" s="204"/>
      <c r="L211" s="205"/>
      <c r="M211" s="205"/>
      <c r="N211" s="205" t="s">
        <v>12</v>
      </c>
      <c r="O211" s="205"/>
      <c r="P211" s="205"/>
      <c r="Q211" s="205"/>
      <c r="R211" s="205"/>
      <c r="S211" s="205"/>
      <c r="T211" s="205"/>
      <c r="U211" s="205"/>
      <c r="V211" s="205"/>
      <c r="W211" s="206"/>
      <c r="X211" s="205"/>
      <c r="Y211" s="205"/>
      <c r="Z211" s="205"/>
      <c r="AA211" s="205"/>
      <c r="AB211" s="205"/>
      <c r="AC211" s="205"/>
      <c r="AD211" s="205"/>
      <c r="AE211" s="205"/>
      <c r="AF211" s="204"/>
      <c r="AG211" s="205"/>
      <c r="AH211" s="205"/>
      <c r="AI211" s="205"/>
      <c r="AJ211" s="205"/>
      <c r="AK211" s="205"/>
      <c r="AL211" s="205">
        <v>1</v>
      </c>
      <c r="AM211" s="206"/>
      <c r="AN211" s="205">
        <f t="shared" si="3"/>
        <v>1</v>
      </c>
    </row>
    <row r="212" spans="1:40" ht="23" x14ac:dyDescent="0.35">
      <c r="A212" s="203" t="s">
        <v>2055</v>
      </c>
      <c r="B212" s="203" t="s">
        <v>1469</v>
      </c>
      <c r="C212" s="203" t="s">
        <v>8</v>
      </c>
      <c r="D212" s="203">
        <v>200</v>
      </c>
      <c r="E212" s="203" t="s">
        <v>1478</v>
      </c>
      <c r="F212" s="228"/>
      <c r="G212" s="231"/>
      <c r="H212" s="234">
        <v>1</v>
      </c>
      <c r="I212" s="205"/>
      <c r="J212" s="205" t="s">
        <v>12</v>
      </c>
      <c r="K212" s="204"/>
      <c r="L212" s="205"/>
      <c r="M212" s="205"/>
      <c r="N212" s="205" t="s">
        <v>12</v>
      </c>
      <c r="O212" s="205"/>
      <c r="P212" s="205"/>
      <c r="Q212" s="205"/>
      <c r="R212" s="205" t="s">
        <v>12</v>
      </c>
      <c r="S212" s="205"/>
      <c r="T212" s="205"/>
      <c r="U212" s="205"/>
      <c r="V212" s="205"/>
      <c r="W212" s="206"/>
      <c r="X212" s="205"/>
      <c r="Y212" s="205"/>
      <c r="Z212" s="205"/>
      <c r="AA212" s="205"/>
      <c r="AB212" s="205"/>
      <c r="AC212" s="205"/>
      <c r="AD212" s="205"/>
      <c r="AE212" s="205"/>
      <c r="AF212" s="204"/>
      <c r="AG212" s="205"/>
      <c r="AH212" s="205"/>
      <c r="AI212" s="205"/>
      <c r="AJ212" s="205"/>
      <c r="AK212" s="205"/>
      <c r="AL212" s="205">
        <v>1</v>
      </c>
      <c r="AM212" s="206"/>
      <c r="AN212" s="205">
        <f t="shared" si="3"/>
        <v>1</v>
      </c>
    </row>
    <row r="213" spans="1:40" ht="23" x14ac:dyDescent="0.35">
      <c r="A213" s="203" t="s">
        <v>2055</v>
      </c>
      <c r="B213" s="203" t="s">
        <v>1468</v>
      </c>
      <c r="C213" s="203" t="s">
        <v>8</v>
      </c>
      <c r="D213" s="203">
        <v>300</v>
      </c>
      <c r="E213" s="203" t="s">
        <v>1846</v>
      </c>
      <c r="F213" s="228"/>
      <c r="G213" s="231"/>
      <c r="H213" s="234">
        <v>2</v>
      </c>
      <c r="I213" s="205"/>
      <c r="J213" s="205"/>
      <c r="K213" s="204"/>
      <c r="L213" s="205"/>
      <c r="M213" s="205"/>
      <c r="N213" s="205" t="s">
        <v>12</v>
      </c>
      <c r="O213" s="205"/>
      <c r="P213" s="205"/>
      <c r="Q213" s="205"/>
      <c r="R213" s="205"/>
      <c r="S213" s="205"/>
      <c r="T213" s="205"/>
      <c r="U213" s="205"/>
      <c r="V213" s="205"/>
      <c r="W213" s="206"/>
      <c r="X213" s="205"/>
      <c r="Y213" s="205"/>
      <c r="Z213" s="205"/>
      <c r="AA213" s="205"/>
      <c r="AB213" s="205"/>
      <c r="AC213" s="205"/>
      <c r="AD213" s="205"/>
      <c r="AE213" s="205"/>
      <c r="AF213" s="204"/>
      <c r="AG213" s="205"/>
      <c r="AH213" s="205"/>
      <c r="AI213" s="205"/>
      <c r="AJ213" s="205"/>
      <c r="AK213" s="205"/>
      <c r="AL213" s="205">
        <v>1</v>
      </c>
      <c r="AM213" s="206"/>
      <c r="AN213" s="205">
        <f t="shared" si="3"/>
        <v>1</v>
      </c>
    </row>
    <row r="214" spans="1:40" ht="34.5" x14ac:dyDescent="0.35">
      <c r="A214" s="203" t="s">
        <v>2055</v>
      </c>
      <c r="B214" s="203" t="s">
        <v>1476</v>
      </c>
      <c r="C214" s="203" t="s">
        <v>8</v>
      </c>
      <c r="D214" s="203">
        <v>300</v>
      </c>
      <c r="E214" s="203" t="s">
        <v>1845</v>
      </c>
      <c r="F214" s="228"/>
      <c r="G214" s="231">
        <v>2</v>
      </c>
      <c r="H214" s="234"/>
      <c r="I214" s="205"/>
      <c r="J214" s="205"/>
      <c r="K214" s="204"/>
      <c r="L214" s="205"/>
      <c r="M214" s="205"/>
      <c r="N214" s="205"/>
      <c r="O214" s="205"/>
      <c r="P214" s="205"/>
      <c r="Q214" s="205"/>
      <c r="R214" s="205"/>
      <c r="S214" s="205"/>
      <c r="T214" s="205"/>
      <c r="U214" s="205"/>
      <c r="V214" s="205"/>
      <c r="W214" s="206"/>
      <c r="X214" s="205"/>
      <c r="Y214" s="205"/>
      <c r="Z214" s="205" t="s">
        <v>12</v>
      </c>
      <c r="AA214" s="205"/>
      <c r="AB214" s="205"/>
      <c r="AC214" s="205"/>
      <c r="AD214" s="205"/>
      <c r="AE214" s="205"/>
      <c r="AF214" s="204"/>
      <c r="AG214" s="205"/>
      <c r="AH214" s="205"/>
      <c r="AI214" s="205"/>
      <c r="AJ214" s="205"/>
      <c r="AK214" s="205"/>
      <c r="AL214" s="205">
        <v>1</v>
      </c>
      <c r="AM214" s="206"/>
      <c r="AN214" s="205">
        <f t="shared" si="3"/>
        <v>1</v>
      </c>
    </row>
    <row r="215" spans="1:40" ht="23" x14ac:dyDescent="0.35">
      <c r="A215" s="203" t="s">
        <v>2055</v>
      </c>
      <c r="B215" s="203" t="s">
        <v>1471</v>
      </c>
      <c r="C215" s="203" t="s">
        <v>8</v>
      </c>
      <c r="D215" s="203">
        <v>200</v>
      </c>
      <c r="E215" s="211" t="s">
        <v>1888</v>
      </c>
      <c r="F215" s="228">
        <v>1</v>
      </c>
      <c r="G215" s="231">
        <v>1</v>
      </c>
      <c r="H215" s="234"/>
      <c r="I215" s="205"/>
      <c r="J215" s="205"/>
      <c r="K215" s="204"/>
      <c r="L215" s="205"/>
      <c r="M215" s="205"/>
      <c r="N215" s="205"/>
      <c r="O215" s="205"/>
      <c r="P215" s="205" t="s">
        <v>12</v>
      </c>
      <c r="Q215" s="205"/>
      <c r="R215" s="205" t="s">
        <v>12</v>
      </c>
      <c r="S215" s="205"/>
      <c r="T215" s="205"/>
      <c r="U215" s="205"/>
      <c r="V215" s="205"/>
      <c r="W215" s="206"/>
      <c r="X215" s="205"/>
      <c r="Y215" s="205"/>
      <c r="Z215" s="205"/>
      <c r="AA215" s="205"/>
      <c r="AB215" s="205"/>
      <c r="AC215" s="205"/>
      <c r="AD215" s="205"/>
      <c r="AE215" s="205"/>
      <c r="AF215" s="204"/>
      <c r="AG215" s="205"/>
      <c r="AH215" s="205"/>
      <c r="AI215" s="205"/>
      <c r="AJ215" s="205"/>
      <c r="AK215" s="205"/>
      <c r="AL215" s="205">
        <v>1</v>
      </c>
      <c r="AM215" s="206"/>
      <c r="AN215" s="205">
        <f t="shared" si="3"/>
        <v>1</v>
      </c>
    </row>
    <row r="216" spans="1:40" ht="34.5" x14ac:dyDescent="0.35">
      <c r="A216" s="203" t="s">
        <v>2055</v>
      </c>
      <c r="B216" s="203" t="s">
        <v>1472</v>
      </c>
      <c r="C216" s="203" t="s">
        <v>8</v>
      </c>
      <c r="D216" s="203">
        <v>0</v>
      </c>
      <c r="E216" s="203" t="s">
        <v>1848</v>
      </c>
      <c r="F216" s="228"/>
      <c r="G216" s="231"/>
      <c r="H216" s="234">
        <v>1</v>
      </c>
      <c r="I216" s="205"/>
      <c r="J216" s="205"/>
      <c r="K216" s="204"/>
      <c r="L216" s="205"/>
      <c r="M216" s="205"/>
      <c r="N216" s="205"/>
      <c r="O216" s="205"/>
      <c r="P216" s="205"/>
      <c r="Q216" s="205"/>
      <c r="R216" s="205" t="s">
        <v>12</v>
      </c>
      <c r="S216" s="205"/>
      <c r="T216" s="205"/>
      <c r="U216" s="205"/>
      <c r="V216" s="205"/>
      <c r="W216" s="206"/>
      <c r="X216" s="205"/>
      <c r="Y216" s="205"/>
      <c r="Z216" s="205"/>
      <c r="AA216" s="205"/>
      <c r="AB216" s="205"/>
      <c r="AC216" s="205"/>
      <c r="AD216" s="205"/>
      <c r="AE216" s="205"/>
      <c r="AF216" s="204"/>
      <c r="AG216" s="205"/>
      <c r="AH216" s="205"/>
      <c r="AI216" s="205"/>
      <c r="AJ216" s="205"/>
      <c r="AK216" s="205"/>
      <c r="AL216" s="205">
        <v>1</v>
      </c>
      <c r="AM216" s="206"/>
      <c r="AN216" s="205">
        <f t="shared" si="3"/>
        <v>1</v>
      </c>
    </row>
    <row r="217" spans="1:40" ht="23" x14ac:dyDescent="0.35">
      <c r="A217" s="203" t="s">
        <v>2055</v>
      </c>
      <c r="B217" s="203" t="s">
        <v>1467</v>
      </c>
      <c r="C217" s="203" t="s">
        <v>8</v>
      </c>
      <c r="D217" s="203">
        <v>200</v>
      </c>
      <c r="E217" s="203" t="s">
        <v>1477</v>
      </c>
      <c r="F217" s="228">
        <v>1</v>
      </c>
      <c r="G217" s="231">
        <v>1</v>
      </c>
      <c r="H217" s="234"/>
      <c r="I217" s="205"/>
      <c r="J217" s="205" t="s">
        <v>12</v>
      </c>
      <c r="K217" s="204"/>
      <c r="L217" s="205"/>
      <c r="M217" s="205"/>
      <c r="N217" s="205"/>
      <c r="O217" s="205"/>
      <c r="P217" s="205"/>
      <c r="Q217" s="205"/>
      <c r="R217" s="205"/>
      <c r="S217" s="205" t="s">
        <v>12</v>
      </c>
      <c r="T217" s="205"/>
      <c r="U217" s="205"/>
      <c r="V217" s="205"/>
      <c r="W217" s="206"/>
      <c r="X217" s="205"/>
      <c r="Y217" s="205"/>
      <c r="Z217" s="205"/>
      <c r="AA217" s="205"/>
      <c r="AB217" s="205"/>
      <c r="AC217" s="205"/>
      <c r="AD217" s="205"/>
      <c r="AE217" s="205"/>
      <c r="AF217" s="204"/>
      <c r="AG217" s="205"/>
      <c r="AH217" s="205"/>
      <c r="AI217" s="205"/>
      <c r="AJ217" s="205"/>
      <c r="AK217" s="205"/>
      <c r="AL217" s="205">
        <v>1</v>
      </c>
      <c r="AM217" s="206"/>
      <c r="AN217" s="205">
        <f t="shared" si="3"/>
        <v>1</v>
      </c>
    </row>
    <row r="218" spans="1:40" ht="23" x14ac:dyDescent="0.35">
      <c r="A218" s="203" t="s">
        <v>2055</v>
      </c>
      <c r="B218" s="203" t="s">
        <v>1436</v>
      </c>
      <c r="C218" s="203" t="s">
        <v>8</v>
      </c>
      <c r="D218" s="203">
        <v>100</v>
      </c>
      <c r="E218" s="203" t="s">
        <v>1437</v>
      </c>
      <c r="F218" s="228"/>
      <c r="G218" s="231">
        <v>1</v>
      </c>
      <c r="H218" s="234"/>
      <c r="I218" s="205"/>
      <c r="J218" s="205" t="s">
        <v>12</v>
      </c>
      <c r="K218" s="204"/>
      <c r="L218" s="205"/>
      <c r="M218" s="205"/>
      <c r="N218" s="205"/>
      <c r="O218" s="205"/>
      <c r="P218" s="205"/>
      <c r="Q218" s="205"/>
      <c r="R218" s="205" t="s">
        <v>12</v>
      </c>
      <c r="S218" s="205"/>
      <c r="T218" s="205"/>
      <c r="U218" s="205"/>
      <c r="V218" s="205"/>
      <c r="W218" s="206"/>
      <c r="X218" s="205"/>
      <c r="Y218" s="205"/>
      <c r="Z218" s="205"/>
      <c r="AA218" s="205"/>
      <c r="AB218" s="205"/>
      <c r="AC218" s="205"/>
      <c r="AD218" s="205"/>
      <c r="AE218" s="205"/>
      <c r="AF218" s="204"/>
      <c r="AG218" s="205">
        <v>2</v>
      </c>
      <c r="AH218" s="205">
        <v>2</v>
      </c>
      <c r="AI218" s="205">
        <v>2</v>
      </c>
      <c r="AJ218" s="205"/>
      <c r="AK218" s="205"/>
      <c r="AL218" s="205"/>
      <c r="AM218" s="206"/>
      <c r="AN218" s="205">
        <f t="shared" si="3"/>
        <v>6</v>
      </c>
    </row>
    <row r="219" spans="1:40" ht="23" x14ac:dyDescent="0.35">
      <c r="A219" s="203" t="s">
        <v>2055</v>
      </c>
      <c r="B219" s="203" t="s">
        <v>1470</v>
      </c>
      <c r="C219" s="203" t="s">
        <v>8</v>
      </c>
      <c r="D219" s="203">
        <v>300</v>
      </c>
      <c r="E219" s="203" t="s">
        <v>1486</v>
      </c>
      <c r="F219" s="228">
        <v>1</v>
      </c>
      <c r="G219" s="231"/>
      <c r="H219" s="234">
        <v>2</v>
      </c>
      <c r="I219" s="205"/>
      <c r="J219" s="205"/>
      <c r="K219" s="204" t="s">
        <v>12</v>
      </c>
      <c r="L219" s="205"/>
      <c r="M219" s="205"/>
      <c r="N219" s="205"/>
      <c r="O219" s="205"/>
      <c r="P219" s="205"/>
      <c r="Q219" s="205"/>
      <c r="R219" s="205"/>
      <c r="S219" s="205"/>
      <c r="T219" s="205"/>
      <c r="U219" s="205"/>
      <c r="V219" s="205"/>
      <c r="W219" s="206"/>
      <c r="X219" s="205" t="s">
        <v>12</v>
      </c>
      <c r="Y219" s="205"/>
      <c r="Z219" s="205"/>
      <c r="AA219" s="205"/>
      <c r="AB219" s="205"/>
      <c r="AC219" s="205"/>
      <c r="AD219" s="205"/>
      <c r="AE219" s="205"/>
      <c r="AF219" s="204"/>
      <c r="AG219" s="205"/>
      <c r="AH219" s="205"/>
      <c r="AI219" s="205"/>
      <c r="AJ219" s="205"/>
      <c r="AK219" s="205"/>
      <c r="AL219" s="205">
        <v>1</v>
      </c>
      <c r="AM219" s="206"/>
      <c r="AN219" s="205">
        <f t="shared" si="3"/>
        <v>1</v>
      </c>
    </row>
    <row r="220" spans="1:40" ht="23" x14ac:dyDescent="0.35">
      <c r="A220" s="203" t="s">
        <v>2055</v>
      </c>
      <c r="B220" s="203" t="s">
        <v>1445</v>
      </c>
      <c r="C220" s="203" t="s">
        <v>131</v>
      </c>
      <c r="D220" s="203">
        <v>500</v>
      </c>
      <c r="E220" s="203" t="s">
        <v>1849</v>
      </c>
      <c r="F220" s="228"/>
      <c r="G220" s="231"/>
      <c r="H220" s="234"/>
      <c r="I220" s="205"/>
      <c r="J220" s="205"/>
      <c r="K220" s="204"/>
      <c r="L220" s="205"/>
      <c r="M220" s="205"/>
      <c r="N220" s="205"/>
      <c r="O220" s="205"/>
      <c r="P220" s="205"/>
      <c r="Q220" s="205"/>
      <c r="R220" s="205"/>
      <c r="S220" s="205"/>
      <c r="T220" s="205"/>
      <c r="U220" s="205"/>
      <c r="V220" s="205"/>
      <c r="W220" s="206"/>
      <c r="X220" s="205"/>
      <c r="Y220" s="205"/>
      <c r="Z220" s="205"/>
      <c r="AA220" s="205"/>
      <c r="AB220" s="205"/>
      <c r="AC220" s="205"/>
      <c r="AD220" s="205"/>
      <c r="AE220" s="205"/>
      <c r="AF220" s="204"/>
      <c r="AG220" s="205"/>
      <c r="AH220" s="205"/>
      <c r="AI220" s="205"/>
      <c r="AJ220" s="205"/>
      <c r="AK220" s="205"/>
      <c r="AL220" s="205">
        <v>1</v>
      </c>
      <c r="AM220" s="206"/>
      <c r="AN220" s="205">
        <f t="shared" si="3"/>
        <v>1</v>
      </c>
    </row>
    <row r="221" spans="1:40" ht="23" x14ac:dyDescent="0.35">
      <c r="A221" s="203" t="s">
        <v>2055</v>
      </c>
      <c r="B221" s="203" t="s">
        <v>1451</v>
      </c>
      <c r="C221" s="203" t="s">
        <v>131</v>
      </c>
      <c r="D221" s="203">
        <v>200</v>
      </c>
      <c r="E221" s="203" t="s">
        <v>1473</v>
      </c>
      <c r="F221" s="228"/>
      <c r="G221" s="231"/>
      <c r="H221" s="234"/>
      <c r="I221" s="205"/>
      <c r="J221" s="205"/>
      <c r="K221" s="204"/>
      <c r="L221" s="205"/>
      <c r="M221" s="205"/>
      <c r="N221" s="205"/>
      <c r="O221" s="205"/>
      <c r="P221" s="205"/>
      <c r="Q221" s="205"/>
      <c r="R221" s="205"/>
      <c r="S221" s="205"/>
      <c r="T221" s="205"/>
      <c r="U221" s="205"/>
      <c r="V221" s="205"/>
      <c r="W221" s="206"/>
      <c r="X221" s="205"/>
      <c r="Y221" s="205"/>
      <c r="Z221" s="205"/>
      <c r="AA221" s="205"/>
      <c r="AB221" s="205"/>
      <c r="AC221" s="205"/>
      <c r="AD221" s="205"/>
      <c r="AE221" s="205"/>
      <c r="AF221" s="204"/>
      <c r="AG221" s="205"/>
      <c r="AH221" s="205">
        <v>2</v>
      </c>
      <c r="AI221" s="205"/>
      <c r="AJ221" s="205"/>
      <c r="AK221" s="205"/>
      <c r="AL221" s="205">
        <v>1</v>
      </c>
      <c r="AM221" s="206"/>
      <c r="AN221" s="205">
        <f t="shared" si="3"/>
        <v>3</v>
      </c>
    </row>
    <row r="222" spans="1:40" ht="23" x14ac:dyDescent="0.35">
      <c r="A222" s="203" t="s">
        <v>2055</v>
      </c>
      <c r="B222" s="203" t="s">
        <v>1440</v>
      </c>
      <c r="C222" s="203" t="s">
        <v>131</v>
      </c>
      <c r="D222" s="203">
        <v>500</v>
      </c>
      <c r="E222" s="203" t="s">
        <v>1479</v>
      </c>
      <c r="F222" s="228">
        <v>2</v>
      </c>
      <c r="G222" s="231"/>
      <c r="H222" s="234"/>
      <c r="I222" s="205"/>
      <c r="J222" s="205"/>
      <c r="K222" s="204"/>
      <c r="L222" s="205"/>
      <c r="M222" s="205"/>
      <c r="N222" s="205"/>
      <c r="O222" s="205"/>
      <c r="P222" s="205"/>
      <c r="Q222" s="205"/>
      <c r="R222" s="205"/>
      <c r="S222" s="205"/>
      <c r="T222" s="205"/>
      <c r="U222" s="205"/>
      <c r="V222" s="205"/>
      <c r="W222" s="206"/>
      <c r="X222" s="205"/>
      <c r="Y222" s="205"/>
      <c r="Z222" s="205"/>
      <c r="AA222" s="205"/>
      <c r="AB222" s="205"/>
      <c r="AC222" s="205"/>
      <c r="AD222" s="205"/>
      <c r="AE222" s="205"/>
      <c r="AF222" s="204"/>
      <c r="AG222" s="205"/>
      <c r="AH222" s="205"/>
      <c r="AI222" s="205"/>
      <c r="AJ222" s="205"/>
      <c r="AK222" s="205"/>
      <c r="AL222" s="205">
        <v>1</v>
      </c>
      <c r="AM222" s="206"/>
      <c r="AN222" s="205">
        <f t="shared" si="3"/>
        <v>1</v>
      </c>
    </row>
    <row r="223" spans="1:40" ht="23" x14ac:dyDescent="0.35">
      <c r="A223" s="203" t="s">
        <v>2055</v>
      </c>
      <c r="B223" s="203" t="s">
        <v>1457</v>
      </c>
      <c r="C223" s="203" t="s">
        <v>131</v>
      </c>
      <c r="D223" s="203">
        <v>1000</v>
      </c>
      <c r="E223" s="203"/>
      <c r="F223" s="228"/>
      <c r="G223" s="231"/>
      <c r="H223" s="234">
        <v>2</v>
      </c>
      <c r="I223" s="205"/>
      <c r="J223" s="205"/>
      <c r="K223" s="204" t="s">
        <v>12</v>
      </c>
      <c r="L223" s="205"/>
      <c r="M223" s="205"/>
      <c r="N223" s="205"/>
      <c r="O223" s="205"/>
      <c r="P223" s="205"/>
      <c r="Q223" s="205"/>
      <c r="R223" s="205"/>
      <c r="S223" s="205"/>
      <c r="T223" s="205"/>
      <c r="U223" s="205"/>
      <c r="V223" s="205"/>
      <c r="W223" s="206"/>
      <c r="X223" s="205"/>
      <c r="Y223" s="205"/>
      <c r="Z223" s="205"/>
      <c r="AA223" s="205"/>
      <c r="AB223" s="205"/>
      <c r="AC223" s="205"/>
      <c r="AD223" s="205"/>
      <c r="AE223" s="205"/>
      <c r="AF223" s="204"/>
      <c r="AG223" s="205"/>
      <c r="AH223" s="205"/>
      <c r="AI223" s="205"/>
      <c r="AJ223" s="205"/>
      <c r="AK223" s="205"/>
      <c r="AL223" s="205">
        <v>1</v>
      </c>
      <c r="AM223" s="206"/>
      <c r="AN223" s="205">
        <f t="shared" si="3"/>
        <v>1</v>
      </c>
    </row>
    <row r="224" spans="1:40" ht="23" x14ac:dyDescent="0.35">
      <c r="A224" s="203" t="s">
        <v>2055</v>
      </c>
      <c r="B224" s="203" t="s">
        <v>1441</v>
      </c>
      <c r="C224" s="203" t="s">
        <v>131</v>
      </c>
      <c r="D224" s="203">
        <v>500</v>
      </c>
      <c r="E224" s="203" t="s">
        <v>1850</v>
      </c>
      <c r="F224" s="228">
        <v>1</v>
      </c>
      <c r="G224" s="231"/>
      <c r="H224" s="234"/>
      <c r="I224" s="205"/>
      <c r="J224" s="205"/>
      <c r="K224" s="204"/>
      <c r="L224" s="205"/>
      <c r="M224" s="205"/>
      <c r="N224" s="205"/>
      <c r="O224" s="205"/>
      <c r="P224" s="205"/>
      <c r="Q224" s="205"/>
      <c r="R224" s="205"/>
      <c r="S224" s="205"/>
      <c r="T224" s="205"/>
      <c r="U224" s="205"/>
      <c r="V224" s="205"/>
      <c r="W224" s="206"/>
      <c r="X224" s="205"/>
      <c r="Y224" s="205"/>
      <c r="Z224" s="205"/>
      <c r="AA224" s="205"/>
      <c r="AB224" s="205"/>
      <c r="AC224" s="205" t="s">
        <v>12</v>
      </c>
      <c r="AD224" s="205"/>
      <c r="AE224" s="205"/>
      <c r="AF224" s="204"/>
      <c r="AG224" s="205"/>
      <c r="AH224" s="205"/>
      <c r="AI224" s="205"/>
      <c r="AJ224" s="205"/>
      <c r="AK224" s="205"/>
      <c r="AL224" s="205">
        <v>1</v>
      </c>
      <c r="AM224" s="206"/>
      <c r="AN224" s="205">
        <f t="shared" si="3"/>
        <v>1</v>
      </c>
    </row>
    <row r="225" spans="1:40" ht="23" x14ac:dyDescent="0.35">
      <c r="A225" s="203" t="s">
        <v>2055</v>
      </c>
      <c r="B225" s="203" t="s">
        <v>1446</v>
      </c>
      <c r="C225" s="203" t="s">
        <v>131</v>
      </c>
      <c r="D225" s="203">
        <v>500</v>
      </c>
      <c r="E225" s="203" t="s">
        <v>1480</v>
      </c>
      <c r="F225" s="228"/>
      <c r="G225" s="231"/>
      <c r="H225" s="234"/>
      <c r="I225" s="205"/>
      <c r="J225" s="205"/>
      <c r="K225" s="204"/>
      <c r="L225" s="205"/>
      <c r="M225" s="205"/>
      <c r="N225" s="205"/>
      <c r="O225" s="205"/>
      <c r="P225" s="205"/>
      <c r="Q225" s="205"/>
      <c r="R225" s="205"/>
      <c r="S225" s="205"/>
      <c r="T225" s="205"/>
      <c r="U225" s="205"/>
      <c r="V225" s="205"/>
      <c r="W225" s="206"/>
      <c r="X225" s="205"/>
      <c r="Y225" s="205"/>
      <c r="Z225" s="205"/>
      <c r="AA225" s="205"/>
      <c r="AB225" s="205"/>
      <c r="AC225" s="205"/>
      <c r="AD225" s="205"/>
      <c r="AE225" s="205"/>
      <c r="AF225" s="204"/>
      <c r="AG225" s="205"/>
      <c r="AH225" s="205"/>
      <c r="AI225" s="205"/>
      <c r="AJ225" s="205"/>
      <c r="AK225" s="205"/>
      <c r="AL225" s="205">
        <v>1</v>
      </c>
      <c r="AM225" s="206"/>
      <c r="AN225" s="205">
        <f t="shared" si="3"/>
        <v>1</v>
      </c>
    </row>
    <row r="226" spans="1:40" ht="23" x14ac:dyDescent="0.35">
      <c r="A226" s="203" t="s">
        <v>2055</v>
      </c>
      <c r="B226" s="203" t="s">
        <v>1449</v>
      </c>
      <c r="C226" s="203" t="s">
        <v>131</v>
      </c>
      <c r="D226" s="203">
        <v>500</v>
      </c>
      <c r="E226" s="203" t="s">
        <v>1481</v>
      </c>
      <c r="F226" s="228"/>
      <c r="G226" s="231"/>
      <c r="H226" s="234"/>
      <c r="I226" s="205"/>
      <c r="J226" s="205"/>
      <c r="K226" s="204"/>
      <c r="L226" s="205"/>
      <c r="M226" s="205"/>
      <c r="N226" s="205"/>
      <c r="O226" s="205"/>
      <c r="P226" s="205"/>
      <c r="Q226" s="205"/>
      <c r="R226" s="205"/>
      <c r="S226" s="205"/>
      <c r="T226" s="205"/>
      <c r="U226" s="205"/>
      <c r="V226" s="205"/>
      <c r="W226" s="206"/>
      <c r="X226" s="205"/>
      <c r="Y226" s="205"/>
      <c r="Z226" s="205"/>
      <c r="AA226" s="205"/>
      <c r="AB226" s="205"/>
      <c r="AC226" s="205"/>
      <c r="AD226" s="205"/>
      <c r="AE226" s="205"/>
      <c r="AF226" s="204"/>
      <c r="AG226" s="205"/>
      <c r="AH226" s="205"/>
      <c r="AI226" s="205"/>
      <c r="AJ226" s="205"/>
      <c r="AK226" s="205"/>
      <c r="AL226" s="205">
        <v>1</v>
      </c>
      <c r="AM226" s="206"/>
      <c r="AN226" s="205">
        <f t="shared" si="3"/>
        <v>1</v>
      </c>
    </row>
    <row r="227" spans="1:40" ht="23" x14ac:dyDescent="0.35">
      <c r="A227" s="203" t="s">
        <v>2055</v>
      </c>
      <c r="B227" s="203" t="s">
        <v>1447</v>
      </c>
      <c r="C227" s="203" t="s">
        <v>131</v>
      </c>
      <c r="D227" s="203">
        <v>500</v>
      </c>
      <c r="E227" s="203" t="s">
        <v>1482</v>
      </c>
      <c r="F227" s="228"/>
      <c r="G227" s="231"/>
      <c r="H227" s="234"/>
      <c r="I227" s="205"/>
      <c r="J227" s="205"/>
      <c r="K227" s="204"/>
      <c r="L227" s="205"/>
      <c r="M227" s="205"/>
      <c r="N227" s="205"/>
      <c r="O227" s="205"/>
      <c r="P227" s="205"/>
      <c r="Q227" s="205"/>
      <c r="R227" s="205"/>
      <c r="S227" s="205"/>
      <c r="T227" s="205"/>
      <c r="U227" s="205"/>
      <c r="V227" s="205"/>
      <c r="W227" s="206"/>
      <c r="X227" s="205"/>
      <c r="Y227" s="205"/>
      <c r="Z227" s="205"/>
      <c r="AA227" s="205"/>
      <c r="AB227" s="205"/>
      <c r="AC227" s="205"/>
      <c r="AD227" s="205"/>
      <c r="AE227" s="205"/>
      <c r="AF227" s="204"/>
      <c r="AG227" s="205"/>
      <c r="AH227" s="205"/>
      <c r="AI227" s="205"/>
      <c r="AJ227" s="205"/>
      <c r="AK227" s="205"/>
      <c r="AL227" s="205">
        <v>1</v>
      </c>
      <c r="AM227" s="206"/>
      <c r="AN227" s="205">
        <f t="shared" si="3"/>
        <v>1</v>
      </c>
    </row>
    <row r="228" spans="1:40" ht="23" x14ac:dyDescent="0.35">
      <c r="A228" s="203" t="s">
        <v>2055</v>
      </c>
      <c r="B228" s="203" t="s">
        <v>1448</v>
      </c>
      <c r="C228" s="203" t="s">
        <v>131</v>
      </c>
      <c r="D228" s="203">
        <v>500</v>
      </c>
      <c r="E228" s="203" t="s">
        <v>1483</v>
      </c>
      <c r="F228" s="228"/>
      <c r="G228" s="231"/>
      <c r="H228" s="234"/>
      <c r="I228" s="205"/>
      <c r="J228" s="205"/>
      <c r="K228" s="204"/>
      <c r="L228" s="205"/>
      <c r="M228" s="205"/>
      <c r="N228" s="205"/>
      <c r="O228" s="205"/>
      <c r="P228" s="205"/>
      <c r="Q228" s="205"/>
      <c r="R228" s="205"/>
      <c r="S228" s="205"/>
      <c r="T228" s="205"/>
      <c r="U228" s="205"/>
      <c r="V228" s="205"/>
      <c r="W228" s="206"/>
      <c r="X228" s="205"/>
      <c r="Y228" s="205"/>
      <c r="Z228" s="205"/>
      <c r="AA228" s="205"/>
      <c r="AB228" s="205"/>
      <c r="AC228" s="205"/>
      <c r="AD228" s="205"/>
      <c r="AE228" s="205"/>
      <c r="AF228" s="204"/>
      <c r="AG228" s="205"/>
      <c r="AH228" s="205"/>
      <c r="AI228" s="205"/>
      <c r="AJ228" s="205"/>
      <c r="AK228" s="205"/>
      <c r="AL228" s="205">
        <v>1</v>
      </c>
      <c r="AM228" s="206"/>
      <c r="AN228" s="205">
        <f t="shared" si="3"/>
        <v>1</v>
      </c>
    </row>
    <row r="229" spans="1:40" ht="23" x14ac:dyDescent="0.35">
      <c r="A229" s="203" t="s">
        <v>2055</v>
      </c>
      <c r="B229" s="203" t="s">
        <v>1444</v>
      </c>
      <c r="C229" s="203" t="s">
        <v>131</v>
      </c>
      <c r="D229" s="203">
        <v>800</v>
      </c>
      <c r="E229" s="203" t="s">
        <v>1484</v>
      </c>
      <c r="F229" s="228">
        <v>1</v>
      </c>
      <c r="G229" s="231"/>
      <c r="H229" s="234"/>
      <c r="I229" s="205"/>
      <c r="J229" s="205"/>
      <c r="K229" s="204"/>
      <c r="L229" s="205"/>
      <c r="M229" s="205"/>
      <c r="N229" s="205"/>
      <c r="O229" s="205"/>
      <c r="P229" s="205"/>
      <c r="Q229" s="205"/>
      <c r="R229" s="205"/>
      <c r="S229" s="205"/>
      <c r="T229" s="205"/>
      <c r="U229" s="205"/>
      <c r="V229" s="205"/>
      <c r="W229" s="206"/>
      <c r="X229" s="205"/>
      <c r="Y229" s="205"/>
      <c r="Z229" s="205"/>
      <c r="AA229" s="205"/>
      <c r="AB229" s="205"/>
      <c r="AC229" s="205" t="s">
        <v>12</v>
      </c>
      <c r="AD229" s="205" t="s">
        <v>12</v>
      </c>
      <c r="AE229" s="205"/>
      <c r="AF229" s="204"/>
      <c r="AG229" s="205"/>
      <c r="AH229" s="205"/>
      <c r="AI229" s="205"/>
      <c r="AJ229" s="205"/>
      <c r="AK229" s="205"/>
      <c r="AL229" s="205">
        <v>1</v>
      </c>
      <c r="AM229" s="206"/>
      <c r="AN229" s="205">
        <f t="shared" si="3"/>
        <v>1</v>
      </c>
    </row>
    <row r="230" spans="1:40" ht="23" x14ac:dyDescent="0.35">
      <c r="A230" s="203" t="s">
        <v>2055</v>
      </c>
      <c r="B230" s="203" t="s">
        <v>1455</v>
      </c>
      <c r="C230" s="203" t="s">
        <v>131</v>
      </c>
      <c r="D230" s="203">
        <v>300</v>
      </c>
      <c r="E230" s="203" t="s">
        <v>1456</v>
      </c>
      <c r="F230" s="228"/>
      <c r="G230" s="231"/>
      <c r="H230" s="234"/>
      <c r="I230" s="205"/>
      <c r="J230" s="205"/>
      <c r="K230" s="204"/>
      <c r="L230" s="205"/>
      <c r="M230" s="205"/>
      <c r="N230" s="205"/>
      <c r="O230" s="205"/>
      <c r="P230" s="205"/>
      <c r="Q230" s="205"/>
      <c r="R230" s="205"/>
      <c r="S230" s="205"/>
      <c r="T230" s="205"/>
      <c r="U230" s="205"/>
      <c r="V230" s="205"/>
      <c r="W230" s="206"/>
      <c r="X230" s="205"/>
      <c r="Y230" s="205"/>
      <c r="Z230" s="205"/>
      <c r="AA230" s="205"/>
      <c r="AB230" s="205"/>
      <c r="AC230" s="205"/>
      <c r="AD230" s="205"/>
      <c r="AE230" s="205"/>
      <c r="AF230" s="204"/>
      <c r="AG230" s="205"/>
      <c r="AH230" s="205"/>
      <c r="AI230" s="205"/>
      <c r="AJ230" s="205">
        <v>2</v>
      </c>
      <c r="AK230" s="205"/>
      <c r="AL230" s="205">
        <v>1</v>
      </c>
      <c r="AM230" s="206"/>
      <c r="AN230" s="205">
        <f t="shared" si="3"/>
        <v>3</v>
      </c>
    </row>
    <row r="231" spans="1:40" ht="34.5" x14ac:dyDescent="0.35">
      <c r="A231" s="203" t="s">
        <v>2055</v>
      </c>
      <c r="B231" s="203" t="s">
        <v>1461</v>
      </c>
      <c r="C231" s="203" t="s">
        <v>131</v>
      </c>
      <c r="D231" s="203">
        <v>300</v>
      </c>
      <c r="E231" s="203" t="s">
        <v>1857</v>
      </c>
      <c r="F231" s="228"/>
      <c r="G231" s="231">
        <v>1</v>
      </c>
      <c r="H231" s="234"/>
      <c r="I231" s="205"/>
      <c r="J231" s="205"/>
      <c r="K231" s="204"/>
      <c r="L231" s="205"/>
      <c r="M231" s="205"/>
      <c r="N231" s="205"/>
      <c r="O231" s="205"/>
      <c r="P231" s="205"/>
      <c r="Q231" s="205"/>
      <c r="R231" s="205"/>
      <c r="S231" s="205"/>
      <c r="T231" s="205"/>
      <c r="U231" s="205"/>
      <c r="V231" s="205"/>
      <c r="W231" s="206"/>
      <c r="X231" s="205"/>
      <c r="Y231" s="205"/>
      <c r="Z231" s="205"/>
      <c r="AA231" s="205"/>
      <c r="AB231" s="205"/>
      <c r="AC231" s="205"/>
      <c r="AD231" s="205"/>
      <c r="AE231" s="205"/>
      <c r="AF231" s="204">
        <v>1</v>
      </c>
      <c r="AG231" s="205"/>
      <c r="AH231" s="205"/>
      <c r="AI231" s="205"/>
      <c r="AJ231" s="205">
        <v>2</v>
      </c>
      <c r="AK231" s="205"/>
      <c r="AL231" s="205"/>
      <c r="AM231" s="206"/>
      <c r="AN231" s="205">
        <f t="shared" si="3"/>
        <v>3</v>
      </c>
    </row>
    <row r="232" spans="1:40" ht="23" x14ac:dyDescent="0.35">
      <c r="A232" s="203" t="s">
        <v>2055</v>
      </c>
      <c r="B232" s="203" t="s">
        <v>1464</v>
      </c>
      <c r="C232" s="203" t="s">
        <v>131</v>
      </c>
      <c r="D232" s="203">
        <v>300</v>
      </c>
      <c r="E232" s="203" t="s">
        <v>1871</v>
      </c>
      <c r="F232" s="228"/>
      <c r="G232" s="231">
        <v>1</v>
      </c>
      <c r="H232" s="234"/>
      <c r="I232" s="205"/>
      <c r="J232" s="205"/>
      <c r="K232" s="204"/>
      <c r="L232" s="205"/>
      <c r="M232" s="205"/>
      <c r="N232" s="205"/>
      <c r="O232" s="205"/>
      <c r="P232" s="205"/>
      <c r="Q232" s="205"/>
      <c r="R232" s="205"/>
      <c r="S232" s="205"/>
      <c r="T232" s="205"/>
      <c r="U232" s="205"/>
      <c r="V232" s="205"/>
      <c r="W232" s="206"/>
      <c r="X232" s="205"/>
      <c r="Y232" s="205"/>
      <c r="Z232" s="205"/>
      <c r="AA232" s="205"/>
      <c r="AB232" s="205"/>
      <c r="AC232" s="205"/>
      <c r="AD232" s="205"/>
      <c r="AE232" s="205"/>
      <c r="AF232" s="204">
        <v>1</v>
      </c>
      <c r="AG232" s="205"/>
      <c r="AH232" s="205"/>
      <c r="AI232" s="205">
        <v>2</v>
      </c>
      <c r="AJ232" s="205"/>
      <c r="AK232" s="205"/>
      <c r="AL232" s="205"/>
      <c r="AM232" s="206"/>
      <c r="AN232" s="205">
        <f t="shared" si="3"/>
        <v>3</v>
      </c>
    </row>
    <row r="233" spans="1:40" ht="23" x14ac:dyDescent="0.35">
      <c r="A233" s="203" t="s">
        <v>2055</v>
      </c>
      <c r="B233" s="203" t="s">
        <v>1460</v>
      </c>
      <c r="C233" s="203" t="s">
        <v>131</v>
      </c>
      <c r="D233" s="203">
        <v>300</v>
      </c>
      <c r="E233" s="203" t="s">
        <v>1475</v>
      </c>
      <c r="F233" s="228"/>
      <c r="G233" s="231">
        <v>1</v>
      </c>
      <c r="H233" s="234"/>
      <c r="I233" s="205"/>
      <c r="J233" s="205"/>
      <c r="K233" s="204"/>
      <c r="L233" s="205"/>
      <c r="M233" s="205"/>
      <c r="N233" s="205"/>
      <c r="O233" s="205"/>
      <c r="P233" s="205"/>
      <c r="Q233" s="205"/>
      <c r="R233" s="205"/>
      <c r="S233" s="205"/>
      <c r="T233" s="205"/>
      <c r="U233" s="205"/>
      <c r="V233" s="205"/>
      <c r="W233" s="206"/>
      <c r="X233" s="205"/>
      <c r="Y233" s="205"/>
      <c r="Z233" s="205"/>
      <c r="AA233" s="205"/>
      <c r="AB233" s="205"/>
      <c r="AC233" s="205"/>
      <c r="AD233" s="205"/>
      <c r="AE233" s="205"/>
      <c r="AF233" s="204">
        <v>1</v>
      </c>
      <c r="AG233" s="205">
        <v>2</v>
      </c>
      <c r="AH233" s="205"/>
      <c r="AI233" s="205"/>
      <c r="AJ233" s="205"/>
      <c r="AK233" s="205"/>
      <c r="AL233" s="205"/>
      <c r="AM233" s="206"/>
      <c r="AN233" s="205">
        <f t="shared" si="3"/>
        <v>3</v>
      </c>
    </row>
    <row r="234" spans="1:40" ht="23" x14ac:dyDescent="0.35">
      <c r="A234" s="203" t="s">
        <v>2055</v>
      </c>
      <c r="B234" s="203" t="s">
        <v>1465</v>
      </c>
      <c r="C234" s="203" t="s">
        <v>131</v>
      </c>
      <c r="D234" s="203">
        <v>300</v>
      </c>
      <c r="E234" s="203" t="s">
        <v>1466</v>
      </c>
      <c r="F234" s="228"/>
      <c r="G234" s="231"/>
      <c r="H234" s="234">
        <v>1</v>
      </c>
      <c r="I234" s="205"/>
      <c r="J234" s="205"/>
      <c r="K234" s="204"/>
      <c r="L234" s="205"/>
      <c r="M234" s="205"/>
      <c r="N234" s="205"/>
      <c r="O234" s="205"/>
      <c r="P234" s="205"/>
      <c r="Q234" s="205"/>
      <c r="R234" s="205"/>
      <c r="S234" s="205"/>
      <c r="T234" s="205"/>
      <c r="U234" s="205"/>
      <c r="V234" s="205"/>
      <c r="W234" s="206"/>
      <c r="X234" s="205"/>
      <c r="Y234" s="205"/>
      <c r="Z234" s="205"/>
      <c r="AA234" s="205"/>
      <c r="AB234" s="205"/>
      <c r="AC234" s="205"/>
      <c r="AD234" s="205"/>
      <c r="AE234" s="205"/>
      <c r="AF234" s="204">
        <v>1</v>
      </c>
      <c r="AG234" s="205"/>
      <c r="AH234" s="205"/>
      <c r="AI234" s="205"/>
      <c r="AJ234" s="205"/>
      <c r="AK234" s="205"/>
      <c r="AL234" s="205"/>
      <c r="AM234" s="206"/>
      <c r="AN234" s="205">
        <f t="shared" si="3"/>
        <v>1</v>
      </c>
    </row>
    <row r="235" spans="1:40" ht="23" x14ac:dyDescent="0.35">
      <c r="A235" s="203" t="s">
        <v>2055</v>
      </c>
      <c r="B235" s="203" t="s">
        <v>1454</v>
      </c>
      <c r="C235" s="203" t="s">
        <v>131</v>
      </c>
      <c r="D235" s="203">
        <v>300</v>
      </c>
      <c r="E235" s="203" t="s">
        <v>1847</v>
      </c>
      <c r="F235" s="228"/>
      <c r="G235" s="231">
        <v>1</v>
      </c>
      <c r="H235" s="234"/>
      <c r="I235" s="205"/>
      <c r="J235" s="205"/>
      <c r="K235" s="204"/>
      <c r="L235" s="205"/>
      <c r="M235" s="205"/>
      <c r="N235" s="205"/>
      <c r="O235" s="205"/>
      <c r="P235" s="205"/>
      <c r="Q235" s="205"/>
      <c r="R235" s="205"/>
      <c r="S235" s="205"/>
      <c r="T235" s="205"/>
      <c r="U235" s="205"/>
      <c r="V235" s="205"/>
      <c r="W235" s="206"/>
      <c r="X235" s="205"/>
      <c r="Y235" s="205"/>
      <c r="Z235" s="205"/>
      <c r="AA235" s="205"/>
      <c r="AB235" s="205"/>
      <c r="AC235" s="205"/>
      <c r="AD235" s="205"/>
      <c r="AE235" s="205"/>
      <c r="AF235" s="204"/>
      <c r="AG235" s="205"/>
      <c r="AH235" s="205"/>
      <c r="AI235" s="205"/>
      <c r="AJ235" s="205"/>
      <c r="AK235" s="205"/>
      <c r="AL235" s="205">
        <v>1</v>
      </c>
      <c r="AM235" s="206"/>
      <c r="AN235" s="205">
        <f t="shared" si="3"/>
        <v>1</v>
      </c>
    </row>
    <row r="236" spans="1:40" ht="23" x14ac:dyDescent="0.35">
      <c r="A236" s="203" t="s">
        <v>2055</v>
      </c>
      <c r="B236" s="203" t="s">
        <v>1462</v>
      </c>
      <c r="C236" s="203" t="s">
        <v>131</v>
      </c>
      <c r="D236" s="203">
        <v>400</v>
      </c>
      <c r="E236" s="203" t="s">
        <v>1473</v>
      </c>
      <c r="F236" s="228">
        <v>1</v>
      </c>
      <c r="G236" s="231"/>
      <c r="H236" s="234"/>
      <c r="I236" s="205"/>
      <c r="J236" s="205"/>
      <c r="K236" s="204"/>
      <c r="L236" s="205"/>
      <c r="M236" s="205"/>
      <c r="N236" s="205"/>
      <c r="O236" s="205"/>
      <c r="P236" s="205"/>
      <c r="Q236" s="205"/>
      <c r="R236" s="205"/>
      <c r="S236" s="205"/>
      <c r="T236" s="205"/>
      <c r="U236" s="205"/>
      <c r="V236" s="205"/>
      <c r="W236" s="206"/>
      <c r="X236" s="205"/>
      <c r="Y236" s="205"/>
      <c r="Z236" s="205"/>
      <c r="AA236" s="205"/>
      <c r="AB236" s="205"/>
      <c r="AC236" s="205" t="s">
        <v>12</v>
      </c>
      <c r="AD236" s="205"/>
      <c r="AE236" s="205"/>
      <c r="AF236" s="204"/>
      <c r="AG236" s="205"/>
      <c r="AH236" s="205"/>
      <c r="AI236" s="205"/>
      <c r="AJ236" s="205">
        <v>1</v>
      </c>
      <c r="AK236" s="205"/>
      <c r="AL236" s="205"/>
      <c r="AM236" s="206"/>
      <c r="AN236" s="205">
        <f t="shared" si="3"/>
        <v>1</v>
      </c>
    </row>
    <row r="237" spans="1:40" ht="23" x14ac:dyDescent="0.35">
      <c r="A237" s="203" t="s">
        <v>2055</v>
      </c>
      <c r="B237" s="203" t="s">
        <v>1450</v>
      </c>
      <c r="C237" s="203" t="s">
        <v>131</v>
      </c>
      <c r="D237" s="203">
        <v>200</v>
      </c>
      <c r="E237" s="203" t="s">
        <v>1721</v>
      </c>
      <c r="F237" s="228"/>
      <c r="G237" s="231"/>
      <c r="H237" s="234"/>
      <c r="I237" s="205"/>
      <c r="J237" s="205"/>
      <c r="K237" s="204"/>
      <c r="L237" s="205"/>
      <c r="M237" s="205"/>
      <c r="N237" s="205"/>
      <c r="O237" s="205"/>
      <c r="P237" s="205"/>
      <c r="Q237" s="205"/>
      <c r="R237" s="205"/>
      <c r="S237" s="205"/>
      <c r="T237" s="205"/>
      <c r="U237" s="205"/>
      <c r="V237" s="205"/>
      <c r="W237" s="206"/>
      <c r="X237" s="205"/>
      <c r="Y237" s="205"/>
      <c r="Z237" s="205"/>
      <c r="AA237" s="205"/>
      <c r="AB237" s="205"/>
      <c r="AC237" s="205"/>
      <c r="AD237" s="205"/>
      <c r="AE237" s="205"/>
      <c r="AF237" s="204"/>
      <c r="AG237" s="205"/>
      <c r="AH237" s="205"/>
      <c r="AI237" s="205"/>
      <c r="AJ237" s="205"/>
      <c r="AK237" s="205"/>
      <c r="AL237" s="205">
        <v>1</v>
      </c>
      <c r="AM237" s="206"/>
      <c r="AN237" s="205">
        <f t="shared" si="3"/>
        <v>1</v>
      </c>
    </row>
    <row r="238" spans="1:40" ht="23" x14ac:dyDescent="0.35">
      <c r="A238" s="203" t="s">
        <v>2055</v>
      </c>
      <c r="B238" s="203" t="s">
        <v>1443</v>
      </c>
      <c r="C238" s="203" t="s">
        <v>131</v>
      </c>
      <c r="D238" s="203">
        <v>800</v>
      </c>
      <c r="E238" s="203" t="s">
        <v>1485</v>
      </c>
      <c r="F238" s="228">
        <v>1</v>
      </c>
      <c r="G238" s="231"/>
      <c r="H238" s="234"/>
      <c r="I238" s="205"/>
      <c r="J238" s="205"/>
      <c r="K238" s="204"/>
      <c r="L238" s="205"/>
      <c r="M238" s="205"/>
      <c r="N238" s="205"/>
      <c r="O238" s="205"/>
      <c r="P238" s="205"/>
      <c r="Q238" s="205"/>
      <c r="R238" s="205"/>
      <c r="S238" s="205"/>
      <c r="T238" s="205"/>
      <c r="U238" s="205"/>
      <c r="V238" s="205"/>
      <c r="W238" s="206"/>
      <c r="X238" s="205"/>
      <c r="Y238" s="205"/>
      <c r="Z238" s="205"/>
      <c r="AA238" s="205"/>
      <c r="AB238" s="205"/>
      <c r="AC238" s="205" t="s">
        <v>12</v>
      </c>
      <c r="AD238" s="205"/>
      <c r="AE238" s="205"/>
      <c r="AF238" s="204"/>
      <c r="AG238" s="205"/>
      <c r="AH238" s="205"/>
      <c r="AI238" s="205"/>
      <c r="AJ238" s="205"/>
      <c r="AK238" s="205"/>
      <c r="AL238" s="205">
        <v>1</v>
      </c>
      <c r="AM238" s="206"/>
      <c r="AN238" s="205">
        <f t="shared" si="3"/>
        <v>1</v>
      </c>
    </row>
    <row r="239" spans="1:40" ht="23" x14ac:dyDescent="0.35">
      <c r="A239" s="203" t="s">
        <v>2055</v>
      </c>
      <c r="B239" s="203" t="s">
        <v>750</v>
      </c>
      <c r="C239" s="203" t="s">
        <v>136</v>
      </c>
      <c r="D239" s="203"/>
      <c r="E239" s="203" t="s">
        <v>1442</v>
      </c>
      <c r="F239" s="228">
        <v>1</v>
      </c>
      <c r="G239" s="231">
        <v>1</v>
      </c>
      <c r="H239" s="234">
        <v>1</v>
      </c>
      <c r="I239" s="205"/>
      <c r="J239" s="205"/>
      <c r="K239" s="204"/>
      <c r="L239" s="205"/>
      <c r="M239" s="205"/>
      <c r="N239" s="205" t="s">
        <v>12</v>
      </c>
      <c r="O239" s="205"/>
      <c r="P239" s="205"/>
      <c r="Q239" s="205"/>
      <c r="R239" s="205"/>
      <c r="S239" s="205"/>
      <c r="T239" s="205"/>
      <c r="U239" s="205"/>
      <c r="V239" s="205"/>
      <c r="W239" s="206"/>
      <c r="X239" s="205"/>
      <c r="Y239" s="205"/>
      <c r="Z239" s="205"/>
      <c r="AA239" s="205"/>
      <c r="AB239" s="205"/>
      <c r="AC239" s="205"/>
      <c r="AD239" s="205"/>
      <c r="AE239" s="205"/>
      <c r="AF239" s="204"/>
      <c r="AG239" s="205"/>
      <c r="AH239" s="205"/>
      <c r="AI239" s="205"/>
      <c r="AJ239" s="205"/>
      <c r="AK239" s="205"/>
      <c r="AL239" s="205"/>
      <c r="AM239" s="206">
        <v>1</v>
      </c>
      <c r="AN239" s="205">
        <f t="shared" si="3"/>
        <v>1</v>
      </c>
    </row>
    <row r="240" spans="1:40" ht="23" x14ac:dyDescent="0.35">
      <c r="A240" s="203" t="s">
        <v>2055</v>
      </c>
      <c r="B240" s="203" t="s">
        <v>1438</v>
      </c>
      <c r="C240" s="203" t="s">
        <v>5</v>
      </c>
      <c r="D240" s="203">
        <v>200</v>
      </c>
      <c r="E240" s="203" t="s">
        <v>1439</v>
      </c>
      <c r="F240" s="228"/>
      <c r="G240" s="231"/>
      <c r="H240" s="234"/>
      <c r="I240" s="205"/>
      <c r="J240" s="205"/>
      <c r="K240" s="204"/>
      <c r="L240" s="205"/>
      <c r="M240" s="205"/>
      <c r="N240" s="205"/>
      <c r="O240" s="205"/>
      <c r="P240" s="205"/>
      <c r="Q240" s="205"/>
      <c r="R240" s="205"/>
      <c r="S240" s="205"/>
      <c r="T240" s="205"/>
      <c r="U240" s="205"/>
      <c r="V240" s="205"/>
      <c r="W240" s="206"/>
      <c r="X240" s="205"/>
      <c r="Y240" s="205"/>
      <c r="Z240" s="205"/>
      <c r="AA240" s="205"/>
      <c r="AB240" s="205"/>
      <c r="AC240" s="205"/>
      <c r="AD240" s="205"/>
      <c r="AE240" s="205"/>
      <c r="AF240" s="204"/>
      <c r="AG240" s="205"/>
      <c r="AH240" s="205"/>
      <c r="AI240" s="205"/>
      <c r="AJ240" s="205"/>
      <c r="AK240" s="205"/>
      <c r="AL240" s="205">
        <v>1</v>
      </c>
      <c r="AM240" s="206"/>
      <c r="AN240" s="205">
        <f t="shared" si="3"/>
        <v>1</v>
      </c>
    </row>
    <row r="241" spans="1:40" ht="34.5" x14ac:dyDescent="0.35">
      <c r="A241" s="203" t="s">
        <v>2055</v>
      </c>
      <c r="B241" s="203" t="s">
        <v>1452</v>
      </c>
      <c r="C241" s="203" t="s">
        <v>5</v>
      </c>
      <c r="D241" s="203">
        <v>800</v>
      </c>
      <c r="E241" s="211" t="s">
        <v>1453</v>
      </c>
      <c r="F241" s="228"/>
      <c r="G241" s="231"/>
      <c r="H241" s="234"/>
      <c r="I241" s="205"/>
      <c r="J241" s="205"/>
      <c r="K241" s="204"/>
      <c r="L241" s="205"/>
      <c r="M241" s="205"/>
      <c r="N241" s="205"/>
      <c r="O241" s="205"/>
      <c r="P241" s="205"/>
      <c r="Q241" s="205"/>
      <c r="R241" s="205"/>
      <c r="S241" s="205"/>
      <c r="T241" s="205"/>
      <c r="U241" s="205"/>
      <c r="V241" s="205"/>
      <c r="W241" s="206"/>
      <c r="X241" s="205"/>
      <c r="Y241" s="205"/>
      <c r="Z241" s="205"/>
      <c r="AA241" s="205"/>
      <c r="AB241" s="205"/>
      <c r="AC241" s="205"/>
      <c r="AD241" s="205"/>
      <c r="AE241" s="205"/>
      <c r="AF241" s="204">
        <v>1</v>
      </c>
      <c r="AG241" s="205"/>
      <c r="AH241" s="205"/>
      <c r="AI241" s="205">
        <v>1</v>
      </c>
      <c r="AJ241" s="205"/>
      <c r="AK241" s="205"/>
      <c r="AL241" s="205">
        <v>1</v>
      </c>
      <c r="AM241" s="206"/>
      <c r="AN241" s="205">
        <f t="shared" si="3"/>
        <v>3</v>
      </c>
    </row>
    <row r="242" spans="1:40" ht="23" x14ac:dyDescent="0.35">
      <c r="A242" s="203" t="s">
        <v>2055</v>
      </c>
      <c r="B242" s="203" t="s">
        <v>1458</v>
      </c>
      <c r="C242" s="203" t="s">
        <v>5</v>
      </c>
      <c r="D242" s="203">
        <v>600</v>
      </c>
      <c r="E242" s="203" t="s">
        <v>1459</v>
      </c>
      <c r="F242" s="228"/>
      <c r="G242" s="231"/>
      <c r="H242" s="234"/>
      <c r="I242" s="205"/>
      <c r="J242" s="205"/>
      <c r="K242" s="204"/>
      <c r="L242" s="205"/>
      <c r="M242" s="205"/>
      <c r="N242" s="205"/>
      <c r="O242" s="205"/>
      <c r="P242" s="205"/>
      <c r="Q242" s="205"/>
      <c r="R242" s="205"/>
      <c r="S242" s="205"/>
      <c r="T242" s="205"/>
      <c r="U242" s="205"/>
      <c r="V242" s="205"/>
      <c r="W242" s="206"/>
      <c r="X242" s="205"/>
      <c r="Y242" s="205"/>
      <c r="Z242" s="205"/>
      <c r="AA242" s="205"/>
      <c r="AB242" s="205"/>
      <c r="AC242" s="205"/>
      <c r="AD242" s="205"/>
      <c r="AE242" s="205"/>
      <c r="AF242" s="204"/>
      <c r="AG242" s="205">
        <v>1</v>
      </c>
      <c r="AH242" s="205"/>
      <c r="AI242" s="205"/>
      <c r="AJ242" s="205"/>
      <c r="AK242" s="205"/>
      <c r="AL242" s="205">
        <v>1</v>
      </c>
      <c r="AM242" s="206"/>
      <c r="AN242" s="205">
        <f t="shared" si="3"/>
        <v>2</v>
      </c>
    </row>
    <row r="243" spans="1:40" ht="34.5" x14ac:dyDescent="0.35">
      <c r="A243" s="203" t="s">
        <v>2052</v>
      </c>
      <c r="B243" s="203" t="s">
        <v>2363</v>
      </c>
      <c r="C243" s="203" t="s">
        <v>736</v>
      </c>
      <c r="D243" s="203"/>
      <c r="E243" s="203" t="s">
        <v>89</v>
      </c>
      <c r="F243" s="228"/>
      <c r="G243" s="231"/>
      <c r="H243" s="234"/>
      <c r="I243" s="205"/>
      <c r="J243" s="205"/>
      <c r="K243" s="204"/>
      <c r="L243" s="205"/>
      <c r="M243" s="205"/>
      <c r="N243" s="205"/>
      <c r="O243" s="205"/>
      <c r="P243" s="205"/>
      <c r="Q243" s="205"/>
      <c r="R243" s="205"/>
      <c r="S243" s="205"/>
      <c r="T243" s="205"/>
      <c r="U243" s="205"/>
      <c r="V243" s="205"/>
      <c r="W243" s="206"/>
      <c r="X243" s="205"/>
      <c r="Y243" s="205"/>
      <c r="Z243" s="205"/>
      <c r="AA243" s="205"/>
      <c r="AB243" s="205"/>
      <c r="AC243" s="205"/>
      <c r="AD243" s="205"/>
      <c r="AE243" s="205"/>
      <c r="AF243" s="204"/>
      <c r="AG243" s="205"/>
      <c r="AH243" s="205"/>
      <c r="AI243" s="205"/>
      <c r="AJ243" s="205"/>
      <c r="AK243" s="205"/>
      <c r="AL243" s="205"/>
      <c r="AM243" s="206">
        <v>1</v>
      </c>
      <c r="AN243" s="205">
        <f t="shared" si="3"/>
        <v>1</v>
      </c>
    </row>
    <row r="244" spans="1:40" ht="34.5" x14ac:dyDescent="0.35">
      <c r="A244" s="203" t="s">
        <v>2054</v>
      </c>
      <c r="B244" s="203" t="s">
        <v>2372</v>
      </c>
      <c r="C244" s="203" t="s">
        <v>736</v>
      </c>
      <c r="D244" s="203"/>
      <c r="E244" s="203" t="s">
        <v>1422</v>
      </c>
      <c r="F244" s="228"/>
      <c r="G244" s="231"/>
      <c r="H244" s="234"/>
      <c r="I244" s="205"/>
      <c r="J244" s="205"/>
      <c r="K244" s="204"/>
      <c r="L244" s="205"/>
      <c r="M244" s="205"/>
      <c r="N244" s="205"/>
      <c r="O244" s="205"/>
      <c r="P244" s="205"/>
      <c r="Q244" s="205"/>
      <c r="R244" s="205"/>
      <c r="S244" s="205"/>
      <c r="T244" s="205"/>
      <c r="U244" s="205"/>
      <c r="V244" s="205"/>
      <c r="W244" s="206"/>
      <c r="X244" s="205"/>
      <c r="Y244" s="205"/>
      <c r="Z244" s="205"/>
      <c r="AA244" s="205"/>
      <c r="AB244" s="205"/>
      <c r="AC244" s="205"/>
      <c r="AD244" s="205"/>
      <c r="AE244" s="205"/>
      <c r="AF244" s="204"/>
      <c r="AG244" s="205"/>
      <c r="AH244" s="205"/>
      <c r="AI244" s="205"/>
      <c r="AJ244" s="205"/>
      <c r="AK244" s="205"/>
      <c r="AL244" s="205"/>
      <c r="AM244" s="206">
        <v>1</v>
      </c>
      <c r="AN244" s="205">
        <f t="shared" si="3"/>
        <v>1</v>
      </c>
    </row>
    <row r="245" spans="1:40" ht="23" x14ac:dyDescent="0.35">
      <c r="A245" s="203" t="s">
        <v>2054</v>
      </c>
      <c r="B245" s="203" t="s">
        <v>1423</v>
      </c>
      <c r="C245" s="203" t="s">
        <v>5</v>
      </c>
      <c r="D245" s="203">
        <v>400</v>
      </c>
      <c r="E245" s="203" t="s">
        <v>1866</v>
      </c>
      <c r="F245" s="228"/>
      <c r="G245" s="231"/>
      <c r="H245" s="234"/>
      <c r="I245" s="205"/>
      <c r="J245" s="205"/>
      <c r="K245" s="204"/>
      <c r="L245" s="205"/>
      <c r="M245" s="205"/>
      <c r="N245" s="205"/>
      <c r="O245" s="205"/>
      <c r="P245" s="205"/>
      <c r="Q245" s="205"/>
      <c r="R245" s="205"/>
      <c r="S245" s="205"/>
      <c r="T245" s="205"/>
      <c r="U245" s="205"/>
      <c r="V245" s="205"/>
      <c r="W245" s="206"/>
      <c r="X245" s="205"/>
      <c r="Y245" s="205"/>
      <c r="Z245" s="205"/>
      <c r="AA245" s="205"/>
      <c r="AB245" s="205"/>
      <c r="AC245" s="205"/>
      <c r="AD245" s="205"/>
      <c r="AE245" s="205"/>
      <c r="AF245" s="204"/>
      <c r="AG245" s="205">
        <v>2</v>
      </c>
      <c r="AH245" s="205"/>
      <c r="AI245" s="205"/>
      <c r="AJ245" s="205"/>
      <c r="AK245" s="205"/>
      <c r="AL245" s="205"/>
      <c r="AM245" s="206">
        <v>1</v>
      </c>
      <c r="AN245" s="205">
        <f t="shared" si="3"/>
        <v>3</v>
      </c>
    </row>
    <row r="246" spans="1:40" ht="23" x14ac:dyDescent="0.35">
      <c r="A246" s="203" t="s">
        <v>2054</v>
      </c>
      <c r="B246" s="203" t="s">
        <v>1424</v>
      </c>
      <c r="C246" s="203" t="s">
        <v>5</v>
      </c>
      <c r="D246" s="203">
        <v>400</v>
      </c>
      <c r="E246" s="203" t="s">
        <v>1425</v>
      </c>
      <c r="F246" s="228"/>
      <c r="G246" s="231"/>
      <c r="H246" s="234"/>
      <c r="I246" s="205"/>
      <c r="J246" s="205"/>
      <c r="K246" s="204"/>
      <c r="L246" s="205"/>
      <c r="M246" s="205"/>
      <c r="N246" s="205"/>
      <c r="O246" s="205"/>
      <c r="P246" s="205"/>
      <c r="Q246" s="205"/>
      <c r="R246" s="205"/>
      <c r="S246" s="205"/>
      <c r="T246" s="205"/>
      <c r="U246" s="205"/>
      <c r="V246" s="205"/>
      <c r="W246" s="206"/>
      <c r="X246" s="205"/>
      <c r="Y246" s="205"/>
      <c r="Z246" s="205"/>
      <c r="AA246" s="205"/>
      <c r="AB246" s="205"/>
      <c r="AC246" s="205"/>
      <c r="AD246" s="205"/>
      <c r="AE246" s="205"/>
      <c r="AF246" s="204"/>
      <c r="AG246" s="205">
        <v>1</v>
      </c>
      <c r="AH246" s="205"/>
      <c r="AI246" s="205"/>
      <c r="AJ246" s="205"/>
      <c r="AK246" s="205"/>
      <c r="AL246" s="205"/>
      <c r="AM246" s="206">
        <v>1</v>
      </c>
      <c r="AN246" s="205">
        <f t="shared" si="3"/>
        <v>2</v>
      </c>
    </row>
    <row r="247" spans="1:40" ht="34.5" x14ac:dyDescent="0.35">
      <c r="A247" s="203" t="s">
        <v>2053</v>
      </c>
      <c r="B247" s="203" t="s">
        <v>2373</v>
      </c>
      <c r="C247" s="203" t="s">
        <v>736</v>
      </c>
      <c r="D247" s="203"/>
      <c r="E247" s="203" t="s">
        <v>1422</v>
      </c>
      <c r="F247" s="228"/>
      <c r="G247" s="231"/>
      <c r="H247" s="234"/>
      <c r="I247" s="205"/>
      <c r="J247" s="205"/>
      <c r="K247" s="204"/>
      <c r="L247" s="205"/>
      <c r="M247" s="205"/>
      <c r="N247" s="205"/>
      <c r="O247" s="205"/>
      <c r="P247" s="205"/>
      <c r="Q247" s="205"/>
      <c r="R247" s="205"/>
      <c r="S247" s="205"/>
      <c r="T247" s="205"/>
      <c r="U247" s="205"/>
      <c r="V247" s="205"/>
      <c r="W247" s="206"/>
      <c r="X247" s="205"/>
      <c r="Y247" s="205"/>
      <c r="Z247" s="205"/>
      <c r="AA247" s="205"/>
      <c r="AB247" s="205"/>
      <c r="AC247" s="205"/>
      <c r="AD247" s="205"/>
      <c r="AE247" s="205"/>
      <c r="AF247" s="204"/>
      <c r="AG247" s="205"/>
      <c r="AH247" s="205"/>
      <c r="AI247" s="205"/>
      <c r="AJ247" s="205"/>
      <c r="AK247" s="205"/>
      <c r="AL247" s="205"/>
      <c r="AM247" s="206">
        <v>1</v>
      </c>
      <c r="AN247" s="205">
        <f t="shared" si="3"/>
        <v>1</v>
      </c>
    </row>
    <row r="248" spans="1:40" ht="34.5" x14ac:dyDescent="0.35">
      <c r="A248" s="203" t="s">
        <v>2053</v>
      </c>
      <c r="B248" s="203" t="s">
        <v>121</v>
      </c>
      <c r="C248" s="203" t="s">
        <v>136</v>
      </c>
      <c r="D248" s="203"/>
      <c r="E248" s="203" t="s">
        <v>1421</v>
      </c>
      <c r="F248" s="228">
        <v>3</v>
      </c>
      <c r="G248" s="231"/>
      <c r="H248" s="234"/>
      <c r="I248" s="205" t="s">
        <v>12</v>
      </c>
      <c r="J248" s="205"/>
      <c r="K248" s="204"/>
      <c r="L248" s="205"/>
      <c r="M248" s="205"/>
      <c r="N248" s="205"/>
      <c r="O248" s="205"/>
      <c r="P248" s="205"/>
      <c r="Q248" s="205"/>
      <c r="R248" s="205"/>
      <c r="S248" s="205"/>
      <c r="T248" s="205" t="s">
        <v>12</v>
      </c>
      <c r="U248" s="205"/>
      <c r="V248" s="205"/>
      <c r="W248" s="206"/>
      <c r="X248" s="205"/>
      <c r="Y248" s="205"/>
      <c r="Z248" s="205"/>
      <c r="AA248" s="205"/>
      <c r="AB248" s="205"/>
      <c r="AC248" s="205"/>
      <c r="AD248" s="205"/>
      <c r="AE248" s="205"/>
      <c r="AF248" s="204"/>
      <c r="AG248" s="205"/>
      <c r="AH248" s="205"/>
      <c r="AI248" s="205"/>
      <c r="AJ248" s="205"/>
      <c r="AK248" s="205"/>
      <c r="AL248" s="205"/>
      <c r="AM248" s="206">
        <v>1</v>
      </c>
      <c r="AN248" s="205">
        <f t="shared" si="3"/>
        <v>1</v>
      </c>
    </row>
    <row r="249" spans="1:40" ht="34.5" x14ac:dyDescent="0.35">
      <c r="A249" s="203" t="s">
        <v>2053</v>
      </c>
      <c r="B249" s="203" t="s">
        <v>1420</v>
      </c>
      <c r="C249" s="203" t="s">
        <v>5</v>
      </c>
      <c r="D249" s="203">
        <v>400</v>
      </c>
      <c r="E249" s="203" t="s">
        <v>1892</v>
      </c>
      <c r="F249" s="228"/>
      <c r="G249" s="231"/>
      <c r="H249" s="234"/>
      <c r="I249" s="205"/>
      <c r="J249" s="205"/>
      <c r="K249" s="204"/>
      <c r="L249" s="205"/>
      <c r="M249" s="205"/>
      <c r="N249" s="205"/>
      <c r="O249" s="205"/>
      <c r="P249" s="205"/>
      <c r="Q249" s="205"/>
      <c r="R249" s="205"/>
      <c r="S249" s="205"/>
      <c r="T249" s="205"/>
      <c r="U249" s="205"/>
      <c r="V249" s="205"/>
      <c r="W249" s="206"/>
      <c r="X249" s="205"/>
      <c r="Y249" s="205"/>
      <c r="Z249" s="205"/>
      <c r="AA249" s="205"/>
      <c r="AB249" s="205"/>
      <c r="AC249" s="205"/>
      <c r="AD249" s="205"/>
      <c r="AE249" s="205"/>
      <c r="AF249" s="204">
        <v>1</v>
      </c>
      <c r="AG249" s="205"/>
      <c r="AH249" s="205"/>
      <c r="AI249" s="205"/>
      <c r="AJ249" s="205"/>
      <c r="AK249" s="205"/>
      <c r="AL249" s="205"/>
      <c r="AM249" s="206">
        <v>1</v>
      </c>
      <c r="AN249" s="205">
        <f t="shared" si="3"/>
        <v>2</v>
      </c>
    </row>
    <row r="250" spans="1:40" ht="23" x14ac:dyDescent="0.35">
      <c r="A250" s="203" t="s">
        <v>2053</v>
      </c>
      <c r="B250" s="203" t="s">
        <v>1418</v>
      </c>
      <c r="C250" s="203" t="s">
        <v>5</v>
      </c>
      <c r="D250" s="203">
        <v>600</v>
      </c>
      <c r="E250" s="203" t="s">
        <v>1419</v>
      </c>
      <c r="F250" s="228"/>
      <c r="G250" s="231"/>
      <c r="H250" s="234"/>
      <c r="I250" s="205"/>
      <c r="J250" s="205"/>
      <c r="K250" s="204"/>
      <c r="L250" s="205"/>
      <c r="M250" s="205"/>
      <c r="N250" s="205"/>
      <c r="O250" s="205"/>
      <c r="P250" s="205"/>
      <c r="Q250" s="205"/>
      <c r="R250" s="205"/>
      <c r="S250" s="205"/>
      <c r="T250" s="205"/>
      <c r="U250" s="205"/>
      <c r="V250" s="205"/>
      <c r="W250" s="206"/>
      <c r="X250" s="205"/>
      <c r="Y250" s="205"/>
      <c r="Z250" s="205"/>
      <c r="AA250" s="205"/>
      <c r="AB250" s="205"/>
      <c r="AC250" s="205"/>
      <c r="AD250" s="205"/>
      <c r="AE250" s="205"/>
      <c r="AF250" s="204">
        <v>1</v>
      </c>
      <c r="AG250" s="205"/>
      <c r="AH250" s="205"/>
      <c r="AI250" s="205"/>
      <c r="AJ250" s="205"/>
      <c r="AK250" s="205"/>
      <c r="AL250" s="205"/>
      <c r="AM250" s="206">
        <v>1</v>
      </c>
      <c r="AN250" s="205">
        <f t="shared" si="3"/>
        <v>2</v>
      </c>
    </row>
    <row r="251" spans="1:40" ht="12" thickBot="1" x14ac:dyDescent="0.4">
      <c r="A251" s="203"/>
      <c r="B251" s="203"/>
      <c r="C251" s="203"/>
      <c r="D251" s="203"/>
      <c r="E251" s="203"/>
      <c r="F251" s="228"/>
      <c r="G251" s="231"/>
      <c r="H251" s="234"/>
      <c r="I251" s="205"/>
      <c r="J251" s="205"/>
      <c r="K251" s="204"/>
      <c r="L251" s="205"/>
      <c r="M251" s="205"/>
      <c r="N251" s="205"/>
      <c r="O251" s="205"/>
      <c r="P251" s="205"/>
      <c r="Q251" s="205"/>
      <c r="R251" s="205"/>
      <c r="S251" s="205"/>
      <c r="T251" s="205"/>
      <c r="U251" s="205"/>
      <c r="V251" s="205"/>
      <c r="W251" s="206"/>
      <c r="X251" s="205"/>
      <c r="Y251" s="205"/>
      <c r="Z251" s="205"/>
      <c r="AA251" s="205"/>
      <c r="AB251" s="205"/>
      <c r="AC251" s="205"/>
      <c r="AD251" s="205"/>
      <c r="AE251" s="205"/>
      <c r="AF251" s="204"/>
      <c r="AG251" s="205"/>
      <c r="AH251" s="205"/>
      <c r="AI251" s="205"/>
      <c r="AJ251" s="205"/>
      <c r="AK251" s="205"/>
      <c r="AL251" s="205"/>
      <c r="AM251" s="206"/>
      <c r="AN251" s="205"/>
    </row>
    <row r="252" spans="1:40" ht="12" thickTop="1" x14ac:dyDescent="0.35">
      <c r="A252" s="212"/>
      <c r="B252" s="212"/>
      <c r="C252" s="212"/>
      <c r="D252" s="212"/>
      <c r="E252" s="212"/>
      <c r="F252" s="229">
        <f>SUM(F2:F251)</f>
        <v>104</v>
      </c>
      <c r="G252" s="232">
        <f>SUM(G2:G251)</f>
        <v>74</v>
      </c>
      <c r="H252" s="235">
        <f>SUM(H2:H251)</f>
        <v>97</v>
      </c>
      <c r="I252" s="213">
        <f t="shared" ref="I252:AE252" si="4">COUNTA(I2:I251)</f>
        <v>35</v>
      </c>
      <c r="J252" s="213">
        <f t="shared" si="4"/>
        <v>29</v>
      </c>
      <c r="K252" s="213">
        <f t="shared" si="4"/>
        <v>15</v>
      </c>
      <c r="L252" s="213">
        <f t="shared" si="4"/>
        <v>5</v>
      </c>
      <c r="M252" s="213">
        <f t="shared" si="4"/>
        <v>12</v>
      </c>
      <c r="N252" s="213">
        <f t="shared" si="4"/>
        <v>23</v>
      </c>
      <c r="O252" s="213">
        <f t="shared" si="4"/>
        <v>7</v>
      </c>
      <c r="P252" s="213">
        <f t="shared" si="4"/>
        <v>11</v>
      </c>
      <c r="Q252" s="213">
        <f t="shared" si="4"/>
        <v>6</v>
      </c>
      <c r="R252" s="213">
        <f t="shared" si="4"/>
        <v>9</v>
      </c>
      <c r="S252" s="213">
        <f t="shared" si="4"/>
        <v>10</v>
      </c>
      <c r="T252" s="213">
        <f t="shared" si="4"/>
        <v>15</v>
      </c>
      <c r="U252" s="213">
        <f t="shared" si="4"/>
        <v>0</v>
      </c>
      <c r="V252" s="213">
        <f t="shared" si="4"/>
        <v>0</v>
      </c>
      <c r="W252" s="213">
        <f t="shared" si="4"/>
        <v>0</v>
      </c>
      <c r="X252" s="213">
        <f t="shared" si="4"/>
        <v>8</v>
      </c>
      <c r="Y252" s="213">
        <f t="shared" si="4"/>
        <v>14</v>
      </c>
      <c r="Z252" s="213">
        <f t="shared" si="4"/>
        <v>6</v>
      </c>
      <c r="AA252" s="213">
        <f t="shared" si="4"/>
        <v>18</v>
      </c>
      <c r="AB252" s="213">
        <f t="shared" si="4"/>
        <v>8</v>
      </c>
      <c r="AC252" s="213">
        <f t="shared" si="4"/>
        <v>17</v>
      </c>
      <c r="AD252" s="213">
        <f t="shared" si="4"/>
        <v>5</v>
      </c>
      <c r="AE252" s="213">
        <f t="shared" si="4"/>
        <v>6</v>
      </c>
      <c r="AF252" s="213">
        <f t="shared" ref="AF252:AN252" si="5">SUM(AF2:AF251)</f>
        <v>49</v>
      </c>
      <c r="AG252" s="213">
        <f t="shared" si="5"/>
        <v>49</v>
      </c>
      <c r="AH252" s="213">
        <f t="shared" si="5"/>
        <v>49</v>
      </c>
      <c r="AI252" s="213">
        <f t="shared" si="5"/>
        <v>47</v>
      </c>
      <c r="AJ252" s="213">
        <f t="shared" si="5"/>
        <v>46</v>
      </c>
      <c r="AK252" s="213">
        <f t="shared" si="5"/>
        <v>33</v>
      </c>
      <c r="AL252" s="213">
        <f t="shared" si="5"/>
        <v>33</v>
      </c>
      <c r="AM252" s="213">
        <f t="shared" si="5"/>
        <v>41</v>
      </c>
      <c r="AN252" s="213">
        <f t="shared" si="5"/>
        <v>347</v>
      </c>
    </row>
    <row r="254" spans="1:40" x14ac:dyDescent="0.35">
      <c r="AF254" s="214">
        <f t="shared" ref="AF254:AM254" si="6">SUBTOTAL(9,AF2:AF251)</f>
        <v>49</v>
      </c>
      <c r="AG254" s="214">
        <f t="shared" si="6"/>
        <v>49</v>
      </c>
      <c r="AH254" s="214">
        <f t="shared" si="6"/>
        <v>49</v>
      </c>
      <c r="AI254" s="214">
        <f t="shared" si="6"/>
        <v>47</v>
      </c>
      <c r="AJ254" s="214">
        <f t="shared" si="6"/>
        <v>46</v>
      </c>
      <c r="AK254" s="214">
        <f t="shared" si="6"/>
        <v>33</v>
      </c>
      <c r="AL254" s="214">
        <f t="shared" si="6"/>
        <v>33</v>
      </c>
      <c r="AM254" s="214">
        <f t="shared" si="6"/>
        <v>41</v>
      </c>
      <c r="AN254" s="214">
        <f>SUM(AF254:AM254)</f>
        <v>347</v>
      </c>
    </row>
  </sheetData>
  <autoFilter ref="A1:AN252" xr:uid="{00000000-0009-0000-0000-000000000000}"/>
  <sortState xmlns:xlrd2="http://schemas.microsoft.com/office/spreadsheetml/2017/richdata2" ref="A2:AN265">
    <sortCondition ref="A2:A265"/>
    <sortCondition ref="C2:C265"/>
    <sortCondition ref="B2:B265"/>
  </sortState>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24FEF-14BA-4EC6-9352-999ECF175675}">
  <sheetPr filterMode="1">
    <tabColor rgb="FFFFFF00"/>
  </sheetPr>
  <dimension ref="A1:BJ431"/>
  <sheetViews>
    <sheetView zoomScale="80" zoomScaleNormal="80" workbookViewId="0">
      <pane xSplit="6" ySplit="1" topLeftCell="BH2" activePane="bottomRight" state="frozen"/>
      <selection pane="topRight" activeCell="G1" sqref="G1"/>
      <selection pane="bottomLeft" activeCell="A2" sqref="A2"/>
      <selection pane="bottomRight" activeCell="AT1" sqref="AT1:BK1048576"/>
    </sheetView>
  </sheetViews>
  <sheetFormatPr defaultColWidth="9.08984375" defaultRowHeight="13" x14ac:dyDescent="0.35"/>
  <cols>
    <col min="1" max="1" width="9.6328125" style="68" bestFit="1" customWidth="1"/>
    <col min="2" max="2" width="16.54296875" style="68" customWidth="1"/>
    <col min="3" max="3" width="18.6328125" style="31" customWidth="1"/>
    <col min="4" max="4" width="11.453125" style="31" customWidth="1"/>
    <col min="5" max="5" width="6.36328125" style="31" customWidth="1"/>
    <col min="6" max="6" width="53.36328125" style="31" customWidth="1"/>
    <col min="7" max="9" width="4.36328125" style="72" customWidth="1"/>
    <col min="10" max="12" width="3.453125" style="72" customWidth="1"/>
    <col min="13" max="42" width="3.453125" style="49" customWidth="1"/>
    <col min="43" max="43" width="3.453125" style="73" customWidth="1"/>
    <col min="44" max="44" width="3.453125" style="49" customWidth="1"/>
    <col min="45" max="45" width="8.36328125" style="31" customWidth="1"/>
    <col min="46" max="46" width="41.453125" style="31" customWidth="1"/>
    <col min="47" max="48" width="9.08984375" style="31" customWidth="1"/>
    <col min="49" max="49" width="9.36328125" style="31" customWidth="1"/>
    <col min="50" max="57" width="4.453125" style="31" customWidth="1"/>
    <col min="58" max="58" width="9.08984375" style="31" customWidth="1"/>
    <col min="59" max="59" width="9.08984375" style="31"/>
    <col min="60" max="60" width="58.08984375" style="31" customWidth="1"/>
    <col min="61" max="61" width="10.08984375" style="31" bestFit="1" customWidth="1"/>
    <col min="62" max="16384" width="9.08984375" style="31"/>
  </cols>
  <sheetData>
    <row r="1" spans="1:61" ht="59.5" thickTop="1" x14ac:dyDescent="0.35">
      <c r="A1" s="31" t="s">
        <v>1</v>
      </c>
      <c r="B1" s="31" t="s">
        <v>296</v>
      </c>
      <c r="C1" s="31" t="s">
        <v>0</v>
      </c>
      <c r="D1" s="31" t="s">
        <v>1</v>
      </c>
      <c r="E1" s="31" t="s">
        <v>2</v>
      </c>
      <c r="F1" s="31" t="s">
        <v>3</v>
      </c>
      <c r="G1" s="79" t="s">
        <v>10</v>
      </c>
      <c r="H1" s="80" t="s">
        <v>15</v>
      </c>
      <c r="I1" s="81" t="s">
        <v>600</v>
      </c>
      <c r="J1" s="82" t="s">
        <v>1403</v>
      </c>
      <c r="K1" s="83" t="s">
        <v>1429</v>
      </c>
      <c r="L1" s="84" t="s">
        <v>1404</v>
      </c>
      <c r="M1" s="142" t="s">
        <v>66</v>
      </c>
      <c r="N1" s="143" t="s">
        <v>677</v>
      </c>
      <c r="O1" s="144" t="s">
        <v>11</v>
      </c>
      <c r="P1" s="145" t="s">
        <v>22</v>
      </c>
      <c r="Q1" s="144" t="s">
        <v>124</v>
      </c>
      <c r="R1" s="146" t="s">
        <v>48</v>
      </c>
      <c r="S1" s="147" t="s">
        <v>59</v>
      </c>
      <c r="T1" s="146" t="s">
        <v>1436</v>
      </c>
      <c r="U1" s="147" t="s">
        <v>16</v>
      </c>
      <c r="V1" s="144" t="s">
        <v>58</v>
      </c>
      <c r="W1" s="146" t="s">
        <v>2192</v>
      </c>
      <c r="X1" s="143" t="s">
        <v>2478</v>
      </c>
      <c r="Y1" s="148" t="s">
        <v>753</v>
      </c>
      <c r="Z1" s="125" t="s">
        <v>27</v>
      </c>
      <c r="AA1" s="129" t="s">
        <v>28</v>
      </c>
      <c r="AB1" s="125" t="s">
        <v>29</v>
      </c>
      <c r="AC1" s="129" t="s">
        <v>30</v>
      </c>
      <c r="AD1" s="125" t="s">
        <v>33</v>
      </c>
      <c r="AE1" s="129" t="s">
        <v>41</v>
      </c>
      <c r="AF1" s="125" t="s">
        <v>42</v>
      </c>
      <c r="AG1" s="34" t="s">
        <v>6</v>
      </c>
      <c r="AH1" s="35" t="s">
        <v>44</v>
      </c>
      <c r="AI1" s="36" t="s">
        <v>67</v>
      </c>
      <c r="AJ1" s="37" t="s">
        <v>68</v>
      </c>
      <c r="AK1" s="32" t="s">
        <v>69</v>
      </c>
      <c r="AL1" s="38" t="s">
        <v>752</v>
      </c>
      <c r="AM1" s="39" t="s">
        <v>1435</v>
      </c>
      <c r="AN1" s="110" t="s">
        <v>1381</v>
      </c>
      <c r="AO1" s="33" t="s">
        <v>2062</v>
      </c>
      <c r="AP1" s="33" t="s">
        <v>2278</v>
      </c>
      <c r="AQ1" s="114" t="s">
        <v>2348</v>
      </c>
      <c r="AR1" s="74" t="s">
        <v>133</v>
      </c>
      <c r="AS1" s="31" t="s">
        <v>1738</v>
      </c>
      <c r="AT1" s="31" t="s">
        <v>1739</v>
      </c>
      <c r="AU1" s="31">
        <v>1</v>
      </c>
      <c r="AV1" s="31">
        <v>2</v>
      </c>
      <c r="AW1" s="33" t="s">
        <v>1763</v>
      </c>
      <c r="AX1" s="33" t="s">
        <v>796</v>
      </c>
      <c r="AY1" s="33" t="s">
        <v>1430</v>
      </c>
      <c r="AZ1" s="33" t="s">
        <v>947</v>
      </c>
      <c r="BA1" s="33" t="s">
        <v>1431</v>
      </c>
      <c r="BB1" s="33" t="s">
        <v>601</v>
      </c>
      <c r="BC1" s="33" t="s">
        <v>1432</v>
      </c>
      <c r="BD1" s="33" t="s">
        <v>1433</v>
      </c>
      <c r="BE1" s="33" t="s">
        <v>1012</v>
      </c>
      <c r="BF1" s="31">
        <v>3</v>
      </c>
      <c r="BG1" s="31">
        <v>4</v>
      </c>
      <c r="BH1" s="31" t="s">
        <v>2245</v>
      </c>
      <c r="BI1" s="31" t="s">
        <v>2246</v>
      </c>
    </row>
    <row r="2" spans="1:61" ht="26" hidden="1" x14ac:dyDescent="0.35">
      <c r="A2" s="199" t="s">
        <v>2639</v>
      </c>
      <c r="B2" s="199" t="s">
        <v>2649</v>
      </c>
      <c r="C2" s="200" t="s">
        <v>92</v>
      </c>
      <c r="D2" s="200" t="s">
        <v>8</v>
      </c>
      <c r="E2" s="200">
        <v>100</v>
      </c>
      <c r="F2" s="200" t="s">
        <v>1877</v>
      </c>
      <c r="G2" s="85"/>
      <c r="H2" s="86">
        <v>1</v>
      </c>
      <c r="I2" s="87"/>
      <c r="J2" s="88"/>
      <c r="K2" s="89"/>
      <c r="L2" s="90"/>
      <c r="M2" s="158"/>
      <c r="N2" s="159"/>
      <c r="O2" s="160"/>
      <c r="P2" s="161"/>
      <c r="Q2" s="160"/>
      <c r="R2" s="162" t="s">
        <v>12</v>
      </c>
      <c r="S2" s="163"/>
      <c r="T2" s="162"/>
      <c r="U2" s="163"/>
      <c r="V2" s="160"/>
      <c r="W2" s="162"/>
      <c r="X2" s="159"/>
      <c r="Y2" s="164"/>
      <c r="Z2" s="126"/>
      <c r="AA2" s="130"/>
      <c r="AB2" s="126"/>
      <c r="AC2" s="130"/>
      <c r="AD2" s="126"/>
      <c r="AE2" s="130"/>
      <c r="AF2" s="126"/>
      <c r="AG2" s="43"/>
      <c r="AH2" s="44"/>
      <c r="AI2" s="45"/>
      <c r="AJ2" s="46">
        <v>1</v>
      </c>
      <c r="AK2" s="41"/>
      <c r="AL2" s="47"/>
      <c r="AM2" s="48"/>
      <c r="AN2" s="111"/>
      <c r="AO2" s="42"/>
      <c r="AP2" s="42"/>
      <c r="AQ2" s="115"/>
      <c r="AR2" s="75"/>
      <c r="AS2" s="40">
        <f t="shared" ref="AS2:AS65" si="0">SUM(AG2:AR2)</f>
        <v>1</v>
      </c>
      <c r="AT2" s="31" t="s">
        <v>1744</v>
      </c>
      <c r="AW2" s="42">
        <f t="shared" ref="AW2:AW37" si="1">SUM(E2-(AX2*100))</f>
        <v>0</v>
      </c>
      <c r="AX2" s="42">
        <f t="shared" ref="AX2:AX37" si="2">SUM(AY2:BE2)</f>
        <v>1</v>
      </c>
      <c r="AY2" s="42">
        <f t="shared" ref="AY2:AY37" si="3">SUM(G2:I2)</f>
        <v>1</v>
      </c>
      <c r="AZ2" s="42">
        <f t="shared" ref="AZ2:AZ37" si="4">SUM(0-COUNTA(J2:L2))</f>
        <v>0</v>
      </c>
      <c r="BA2" s="42">
        <f>COUNTA(#REF!)</f>
        <v>1</v>
      </c>
      <c r="BB2" s="42">
        <f t="shared" ref="BB2:BB37" si="5">COUNTA(Z2:AF2)</f>
        <v>0</v>
      </c>
      <c r="BC2" s="42"/>
      <c r="BD2" s="42"/>
      <c r="BE2" s="42">
        <v>-1</v>
      </c>
    </row>
    <row r="3" spans="1:61" hidden="1" x14ac:dyDescent="0.35">
      <c r="A3" s="199" t="s">
        <v>2639</v>
      </c>
      <c r="B3" s="199" t="s">
        <v>2649</v>
      </c>
      <c r="C3" s="200" t="s">
        <v>50</v>
      </c>
      <c r="D3" s="200" t="s">
        <v>8</v>
      </c>
      <c r="E3" s="200">
        <v>200</v>
      </c>
      <c r="F3" s="200" t="s">
        <v>56</v>
      </c>
      <c r="G3" s="85"/>
      <c r="H3" s="86">
        <v>2</v>
      </c>
      <c r="I3" s="87"/>
      <c r="J3" s="88"/>
      <c r="K3" s="89"/>
      <c r="L3" s="90" t="s">
        <v>12</v>
      </c>
      <c r="M3" s="165"/>
      <c r="N3" s="134"/>
      <c r="O3" s="45"/>
      <c r="P3" s="130"/>
      <c r="Q3" s="45"/>
      <c r="R3" s="136" t="s">
        <v>12</v>
      </c>
      <c r="S3" s="139"/>
      <c r="T3" s="136"/>
      <c r="U3" s="139"/>
      <c r="V3" s="45"/>
      <c r="W3" s="136"/>
      <c r="X3" s="134"/>
      <c r="Y3" s="166"/>
      <c r="Z3" s="126"/>
      <c r="AA3" s="130"/>
      <c r="AB3" s="126"/>
      <c r="AC3" s="130"/>
      <c r="AD3" s="126"/>
      <c r="AE3" s="130"/>
      <c r="AF3" s="126"/>
      <c r="AG3" s="43"/>
      <c r="AH3" s="44">
        <v>1</v>
      </c>
      <c r="AI3" s="45"/>
      <c r="AJ3" s="46"/>
      <c r="AK3" s="41"/>
      <c r="AL3" s="47"/>
      <c r="AM3" s="48"/>
      <c r="AN3" s="111"/>
      <c r="AO3" s="42"/>
      <c r="AP3" s="42"/>
      <c r="AQ3" s="115"/>
      <c r="AR3" s="75"/>
      <c r="AS3" s="40">
        <f t="shared" si="0"/>
        <v>1</v>
      </c>
      <c r="AT3" s="31" t="s">
        <v>1745</v>
      </c>
      <c r="AW3" s="42">
        <f t="shared" si="1"/>
        <v>0</v>
      </c>
      <c r="AX3" s="42">
        <f t="shared" si="2"/>
        <v>2</v>
      </c>
      <c r="AY3" s="42">
        <f t="shared" si="3"/>
        <v>2</v>
      </c>
      <c r="AZ3" s="42">
        <f t="shared" si="4"/>
        <v>-1</v>
      </c>
      <c r="BA3" s="42">
        <f>COUNTA(#REF!)</f>
        <v>1</v>
      </c>
      <c r="BB3" s="42">
        <f t="shared" si="5"/>
        <v>0</v>
      </c>
      <c r="BC3" s="42"/>
      <c r="BD3" s="42"/>
      <c r="BE3" s="42">
        <v>0</v>
      </c>
    </row>
    <row r="4" spans="1:61" hidden="1" x14ac:dyDescent="0.35">
      <c r="A4" s="199" t="s">
        <v>2639</v>
      </c>
      <c r="B4" s="199" t="s">
        <v>2649</v>
      </c>
      <c r="C4" s="200" t="s">
        <v>51</v>
      </c>
      <c r="D4" s="200" t="s">
        <v>8</v>
      </c>
      <c r="E4" s="200">
        <v>200</v>
      </c>
      <c r="F4" s="200" t="s">
        <v>57</v>
      </c>
      <c r="G4" s="85"/>
      <c r="H4" s="86">
        <v>2</v>
      </c>
      <c r="I4" s="87"/>
      <c r="J4" s="88"/>
      <c r="K4" s="89"/>
      <c r="L4" s="90" t="s">
        <v>12</v>
      </c>
      <c r="M4" s="165"/>
      <c r="N4" s="134"/>
      <c r="O4" s="45"/>
      <c r="P4" s="130"/>
      <c r="Q4" s="45"/>
      <c r="R4" s="136" t="s">
        <v>12</v>
      </c>
      <c r="S4" s="139"/>
      <c r="T4" s="136"/>
      <c r="U4" s="139"/>
      <c r="V4" s="45"/>
      <c r="W4" s="136"/>
      <c r="X4" s="134"/>
      <c r="Y4" s="166"/>
      <c r="Z4" s="126"/>
      <c r="AA4" s="130"/>
      <c r="AB4" s="126"/>
      <c r="AC4" s="130"/>
      <c r="AD4" s="126"/>
      <c r="AE4" s="130"/>
      <c r="AF4" s="126"/>
      <c r="AG4" s="43"/>
      <c r="AH4" s="44">
        <v>1</v>
      </c>
      <c r="AI4" s="45"/>
      <c r="AJ4" s="46"/>
      <c r="AK4" s="41"/>
      <c r="AL4" s="47"/>
      <c r="AM4" s="48"/>
      <c r="AN4" s="111"/>
      <c r="AO4" s="42"/>
      <c r="AP4" s="42"/>
      <c r="AQ4" s="115"/>
      <c r="AR4" s="75"/>
      <c r="AS4" s="40">
        <f t="shared" si="0"/>
        <v>1</v>
      </c>
      <c r="AT4" s="31" t="s">
        <v>1746</v>
      </c>
      <c r="AW4" s="42">
        <f t="shared" si="1"/>
        <v>0</v>
      </c>
      <c r="AX4" s="42">
        <f t="shared" si="2"/>
        <v>2</v>
      </c>
      <c r="AY4" s="42">
        <f t="shared" si="3"/>
        <v>2</v>
      </c>
      <c r="AZ4" s="42">
        <f t="shared" si="4"/>
        <v>-1</v>
      </c>
      <c r="BA4" s="42">
        <f>COUNTA(#REF!)</f>
        <v>1</v>
      </c>
      <c r="BB4" s="42">
        <f t="shared" si="5"/>
        <v>0</v>
      </c>
      <c r="BC4" s="42"/>
      <c r="BD4" s="42"/>
      <c r="BE4" s="42">
        <v>0</v>
      </c>
    </row>
    <row r="5" spans="1:61" ht="26" hidden="1" x14ac:dyDescent="0.35">
      <c r="A5" s="199" t="s">
        <v>2639</v>
      </c>
      <c r="B5" s="199" t="s">
        <v>2649</v>
      </c>
      <c r="C5" s="200" t="s">
        <v>93</v>
      </c>
      <c r="D5" s="200" t="s">
        <v>8</v>
      </c>
      <c r="E5" s="200">
        <v>300</v>
      </c>
      <c r="F5" s="200" t="s">
        <v>94</v>
      </c>
      <c r="G5" s="85"/>
      <c r="H5" s="86">
        <v>1</v>
      </c>
      <c r="I5" s="87">
        <v>2</v>
      </c>
      <c r="J5" s="88"/>
      <c r="K5" s="89"/>
      <c r="L5" s="90"/>
      <c r="M5" s="165" t="s">
        <v>12</v>
      </c>
      <c r="N5" s="134"/>
      <c r="O5" s="45"/>
      <c r="P5" s="130" t="s">
        <v>12</v>
      </c>
      <c r="Q5" s="45"/>
      <c r="R5" s="136"/>
      <c r="S5" s="139"/>
      <c r="T5" s="136"/>
      <c r="U5" s="139"/>
      <c r="V5" s="45"/>
      <c r="W5" s="136"/>
      <c r="X5" s="134"/>
      <c r="Y5" s="166"/>
      <c r="Z5" s="126"/>
      <c r="AA5" s="130"/>
      <c r="AB5" s="126"/>
      <c r="AC5" s="130"/>
      <c r="AD5" s="126"/>
      <c r="AE5" s="130"/>
      <c r="AF5" s="126"/>
      <c r="AG5" s="43"/>
      <c r="AH5" s="44"/>
      <c r="AI5" s="45"/>
      <c r="AJ5" s="46">
        <v>1</v>
      </c>
      <c r="AK5" s="41"/>
      <c r="AL5" s="47"/>
      <c r="AM5" s="48"/>
      <c r="AN5" s="111"/>
      <c r="AO5" s="42"/>
      <c r="AP5" s="42"/>
      <c r="AQ5" s="115"/>
      <c r="AR5" s="75"/>
      <c r="AS5" s="40">
        <f t="shared" si="0"/>
        <v>1</v>
      </c>
      <c r="AT5" s="31" t="s">
        <v>1744</v>
      </c>
      <c r="AW5" s="42">
        <f t="shared" si="1"/>
        <v>0</v>
      </c>
      <c r="AX5" s="42">
        <f t="shared" si="2"/>
        <v>3</v>
      </c>
      <c r="AY5" s="42">
        <f t="shared" si="3"/>
        <v>3</v>
      </c>
      <c r="AZ5" s="42">
        <f t="shared" si="4"/>
        <v>0</v>
      </c>
      <c r="BA5" s="42">
        <f>COUNTA(#REF!)</f>
        <v>1</v>
      </c>
      <c r="BB5" s="42">
        <f t="shared" si="5"/>
        <v>0</v>
      </c>
      <c r="BC5" s="42"/>
      <c r="BD5" s="42"/>
      <c r="BE5" s="42">
        <v>-1</v>
      </c>
    </row>
    <row r="6" spans="1:61" ht="26" x14ac:dyDescent="0.35">
      <c r="A6" s="199" t="s">
        <v>2639</v>
      </c>
      <c r="B6" s="199" t="s">
        <v>2649</v>
      </c>
      <c r="C6" s="200" t="s">
        <v>95</v>
      </c>
      <c r="D6" s="200" t="s">
        <v>8</v>
      </c>
      <c r="E6" s="200">
        <v>200</v>
      </c>
      <c r="F6" s="200" t="s">
        <v>1831</v>
      </c>
      <c r="G6" s="85">
        <v>2</v>
      </c>
      <c r="H6" s="86"/>
      <c r="I6" s="87"/>
      <c r="J6" s="88"/>
      <c r="K6" s="89"/>
      <c r="L6" s="90" t="s">
        <v>12</v>
      </c>
      <c r="M6" s="165"/>
      <c r="N6" s="134"/>
      <c r="O6" s="45" t="s">
        <v>12</v>
      </c>
      <c r="P6" s="130"/>
      <c r="Q6" s="45"/>
      <c r="R6" s="136"/>
      <c r="S6" s="139"/>
      <c r="T6" s="136"/>
      <c r="U6" s="139"/>
      <c r="V6" s="45"/>
      <c r="W6" s="136"/>
      <c r="X6" s="134"/>
      <c r="Y6" s="166"/>
      <c r="Z6" s="126"/>
      <c r="AA6" s="130"/>
      <c r="AB6" s="126"/>
      <c r="AC6" s="130"/>
      <c r="AD6" s="126"/>
      <c r="AE6" s="130"/>
      <c r="AF6" s="126"/>
      <c r="AG6" s="43"/>
      <c r="AH6" s="44"/>
      <c r="AI6" s="45"/>
      <c r="AJ6" s="46">
        <v>1</v>
      </c>
      <c r="AK6" s="41"/>
      <c r="AL6" s="47"/>
      <c r="AM6" s="48"/>
      <c r="AN6" s="111"/>
      <c r="AO6" s="42"/>
      <c r="AP6" s="42"/>
      <c r="AQ6" s="115"/>
      <c r="AR6" s="75"/>
      <c r="AS6" s="40">
        <f t="shared" si="0"/>
        <v>1</v>
      </c>
      <c r="AT6" s="31" t="s">
        <v>1750</v>
      </c>
      <c r="AW6" s="42">
        <f t="shared" si="1"/>
        <v>-100</v>
      </c>
      <c r="AX6" s="42">
        <f t="shared" si="2"/>
        <v>3</v>
      </c>
      <c r="AY6" s="42">
        <f t="shared" si="3"/>
        <v>2</v>
      </c>
      <c r="AZ6" s="42">
        <f t="shared" si="4"/>
        <v>-1</v>
      </c>
      <c r="BA6" s="42">
        <f>COUNTA(#REF!)</f>
        <v>1</v>
      </c>
      <c r="BB6" s="42">
        <f t="shared" si="5"/>
        <v>0</v>
      </c>
      <c r="BC6" s="42">
        <v>1</v>
      </c>
      <c r="BD6" s="42"/>
      <c r="BE6" s="42">
        <v>0</v>
      </c>
    </row>
    <row r="7" spans="1:61" ht="26" hidden="1" x14ac:dyDescent="0.35">
      <c r="A7" s="199" t="s">
        <v>2639</v>
      </c>
      <c r="B7" s="199" t="s">
        <v>2649</v>
      </c>
      <c r="C7" s="200" t="s">
        <v>127</v>
      </c>
      <c r="D7" s="200" t="s">
        <v>8</v>
      </c>
      <c r="E7" s="200">
        <v>100</v>
      </c>
      <c r="F7" s="200" t="s">
        <v>1885</v>
      </c>
      <c r="G7" s="85"/>
      <c r="H7" s="86"/>
      <c r="I7" s="87"/>
      <c r="J7" s="88" t="s">
        <v>12</v>
      </c>
      <c r="K7" s="89"/>
      <c r="L7" s="90"/>
      <c r="M7" s="165"/>
      <c r="N7" s="134"/>
      <c r="O7" s="45"/>
      <c r="P7" s="130"/>
      <c r="Q7" s="45" t="s">
        <v>12</v>
      </c>
      <c r="R7" s="136"/>
      <c r="S7" s="139" t="s">
        <v>12</v>
      </c>
      <c r="T7" s="136"/>
      <c r="U7" s="139"/>
      <c r="V7" s="45"/>
      <c r="W7" s="136"/>
      <c r="X7" s="134"/>
      <c r="Y7" s="166"/>
      <c r="Z7" s="126"/>
      <c r="AA7" s="130"/>
      <c r="AB7" s="126"/>
      <c r="AC7" s="130"/>
      <c r="AD7" s="126"/>
      <c r="AE7" s="130"/>
      <c r="AF7" s="126"/>
      <c r="AG7" s="43"/>
      <c r="AH7" s="44"/>
      <c r="AI7" s="45">
        <v>1</v>
      </c>
      <c r="AJ7" s="46"/>
      <c r="AK7" s="41"/>
      <c r="AL7" s="47"/>
      <c r="AM7" s="48"/>
      <c r="AN7" s="111"/>
      <c r="AO7" s="42"/>
      <c r="AP7" s="42"/>
      <c r="AQ7" s="115"/>
      <c r="AR7" s="75"/>
      <c r="AS7" s="40">
        <f t="shared" si="0"/>
        <v>1</v>
      </c>
      <c r="AT7" s="31" t="s">
        <v>1754</v>
      </c>
      <c r="AW7" s="42">
        <f t="shared" si="1"/>
        <v>100</v>
      </c>
      <c r="AX7" s="42">
        <f t="shared" si="2"/>
        <v>0</v>
      </c>
      <c r="AY7" s="42">
        <f t="shared" si="3"/>
        <v>0</v>
      </c>
      <c r="AZ7" s="42">
        <f t="shared" si="4"/>
        <v>-1</v>
      </c>
      <c r="BA7" s="42">
        <f>COUNTA(#REF!)</f>
        <v>1</v>
      </c>
      <c r="BB7" s="42">
        <f t="shared" si="5"/>
        <v>0</v>
      </c>
      <c r="BC7" s="42"/>
      <c r="BD7" s="42"/>
      <c r="BE7" s="42">
        <v>0</v>
      </c>
    </row>
    <row r="8" spans="1:61" ht="26" hidden="1" x14ac:dyDescent="0.35">
      <c r="A8" s="199" t="s">
        <v>2639</v>
      </c>
      <c r="B8" s="199" t="s">
        <v>2649</v>
      </c>
      <c r="C8" s="200" t="s">
        <v>52</v>
      </c>
      <c r="D8" s="200" t="s">
        <v>8</v>
      </c>
      <c r="E8" s="200">
        <v>200</v>
      </c>
      <c r="F8" s="200" t="s">
        <v>132</v>
      </c>
      <c r="G8" s="85"/>
      <c r="H8" s="86"/>
      <c r="I8" s="87">
        <v>2</v>
      </c>
      <c r="J8" s="88" t="s">
        <v>12</v>
      </c>
      <c r="K8" s="89"/>
      <c r="L8" s="90"/>
      <c r="M8" s="165"/>
      <c r="N8" s="134"/>
      <c r="O8" s="45"/>
      <c r="P8" s="130" t="s">
        <v>12</v>
      </c>
      <c r="Q8" s="45"/>
      <c r="R8" s="136"/>
      <c r="S8" s="139"/>
      <c r="T8" s="136"/>
      <c r="U8" s="139"/>
      <c r="V8" s="45"/>
      <c r="W8" s="136"/>
      <c r="X8" s="134"/>
      <c r="Y8" s="166"/>
      <c r="Z8" s="126"/>
      <c r="AA8" s="130"/>
      <c r="AB8" s="126"/>
      <c r="AC8" s="130"/>
      <c r="AD8" s="126"/>
      <c r="AE8" s="130"/>
      <c r="AF8" s="126"/>
      <c r="AG8" s="43"/>
      <c r="AH8" s="44">
        <v>1</v>
      </c>
      <c r="AI8" s="45"/>
      <c r="AJ8" s="46"/>
      <c r="AK8" s="41"/>
      <c r="AL8" s="47"/>
      <c r="AM8" s="48"/>
      <c r="AN8" s="111"/>
      <c r="AO8" s="42"/>
      <c r="AP8" s="42"/>
      <c r="AQ8" s="115"/>
      <c r="AR8" s="75"/>
      <c r="AS8" s="40">
        <f t="shared" si="0"/>
        <v>1</v>
      </c>
      <c r="AT8" s="31" t="s">
        <v>1755</v>
      </c>
      <c r="AW8" s="42">
        <f t="shared" si="1"/>
        <v>0</v>
      </c>
      <c r="AX8" s="42">
        <f t="shared" si="2"/>
        <v>2</v>
      </c>
      <c r="AY8" s="42">
        <f t="shared" si="3"/>
        <v>2</v>
      </c>
      <c r="AZ8" s="42">
        <f t="shared" si="4"/>
        <v>-1</v>
      </c>
      <c r="BA8" s="42">
        <f>COUNTA(#REF!)</f>
        <v>1</v>
      </c>
      <c r="BB8" s="42">
        <f t="shared" si="5"/>
        <v>0</v>
      </c>
      <c r="BC8" s="42"/>
      <c r="BD8" s="42"/>
      <c r="BE8" s="42">
        <v>0</v>
      </c>
    </row>
    <row r="9" spans="1:61" x14ac:dyDescent="0.35">
      <c r="A9" s="199" t="s">
        <v>2639</v>
      </c>
      <c r="B9" s="199" t="s">
        <v>2649</v>
      </c>
      <c r="C9" s="200" t="s">
        <v>17</v>
      </c>
      <c r="D9" s="200" t="s">
        <v>8</v>
      </c>
      <c r="E9" s="200">
        <v>200</v>
      </c>
      <c r="F9" s="200" t="s">
        <v>1832</v>
      </c>
      <c r="G9" s="85">
        <v>1</v>
      </c>
      <c r="H9" s="86"/>
      <c r="I9" s="87"/>
      <c r="J9" s="88"/>
      <c r="K9" s="89"/>
      <c r="L9" s="90"/>
      <c r="M9" s="165"/>
      <c r="N9" s="134"/>
      <c r="O9" s="45" t="s">
        <v>12</v>
      </c>
      <c r="P9" s="130"/>
      <c r="Q9" s="45"/>
      <c r="R9" s="136"/>
      <c r="S9" s="139"/>
      <c r="T9" s="136"/>
      <c r="U9" s="139"/>
      <c r="V9" s="45"/>
      <c r="W9" s="136"/>
      <c r="X9" s="134"/>
      <c r="Y9" s="166"/>
      <c r="Z9" s="126"/>
      <c r="AA9" s="130"/>
      <c r="AB9" s="126"/>
      <c r="AC9" s="130"/>
      <c r="AD9" s="126"/>
      <c r="AE9" s="130"/>
      <c r="AF9" s="126"/>
      <c r="AG9" s="43">
        <v>2</v>
      </c>
      <c r="AH9" s="44">
        <v>2</v>
      </c>
      <c r="AI9" s="45"/>
      <c r="AJ9" s="46"/>
      <c r="AK9" s="41"/>
      <c r="AL9" s="47"/>
      <c r="AM9" s="48"/>
      <c r="AN9" s="111"/>
      <c r="AO9" s="42"/>
      <c r="AP9" s="42"/>
      <c r="AQ9" s="115"/>
      <c r="AR9" s="75"/>
      <c r="AS9" s="40">
        <f t="shared" si="0"/>
        <v>4</v>
      </c>
      <c r="AT9" s="31" t="s">
        <v>1750</v>
      </c>
      <c r="AW9" s="42">
        <f t="shared" si="1"/>
        <v>0</v>
      </c>
      <c r="AX9" s="42">
        <f t="shared" si="2"/>
        <v>2</v>
      </c>
      <c r="AY9" s="42">
        <f t="shared" si="3"/>
        <v>1</v>
      </c>
      <c r="AZ9" s="42">
        <f t="shared" si="4"/>
        <v>0</v>
      </c>
      <c r="BA9" s="42">
        <f>COUNTA(#REF!)</f>
        <v>1</v>
      </c>
      <c r="BB9" s="42">
        <f t="shared" si="5"/>
        <v>0</v>
      </c>
      <c r="BC9" s="42"/>
      <c r="BD9" s="42"/>
      <c r="BE9" s="42">
        <v>0</v>
      </c>
    </row>
    <row r="10" spans="1:61" ht="26" hidden="1" x14ac:dyDescent="0.35">
      <c r="A10" s="199" t="s">
        <v>2639</v>
      </c>
      <c r="B10" s="199" t="s">
        <v>2649</v>
      </c>
      <c r="C10" s="200" t="s">
        <v>128</v>
      </c>
      <c r="D10" s="200" t="s">
        <v>8</v>
      </c>
      <c r="E10" s="200">
        <v>100</v>
      </c>
      <c r="F10" s="200" t="s">
        <v>130</v>
      </c>
      <c r="G10" s="85">
        <v>1</v>
      </c>
      <c r="H10" s="86"/>
      <c r="I10" s="87"/>
      <c r="J10" s="88"/>
      <c r="K10" s="89"/>
      <c r="L10" s="90"/>
      <c r="M10" s="165"/>
      <c r="N10" s="134"/>
      <c r="O10" s="45"/>
      <c r="P10" s="130"/>
      <c r="Q10" s="45"/>
      <c r="R10" s="136"/>
      <c r="S10" s="139"/>
      <c r="T10" s="136"/>
      <c r="U10" s="139"/>
      <c r="V10" s="45" t="s">
        <v>12</v>
      </c>
      <c r="W10" s="136"/>
      <c r="X10" s="134"/>
      <c r="Y10" s="166"/>
      <c r="Z10" s="126"/>
      <c r="AA10" s="130"/>
      <c r="AB10" s="126"/>
      <c r="AC10" s="130"/>
      <c r="AD10" s="126"/>
      <c r="AE10" s="130"/>
      <c r="AF10" s="126"/>
      <c r="AG10" s="43"/>
      <c r="AH10" s="44"/>
      <c r="AI10" s="45">
        <v>1</v>
      </c>
      <c r="AJ10" s="46"/>
      <c r="AK10" s="41"/>
      <c r="AL10" s="47"/>
      <c r="AM10" s="48"/>
      <c r="AN10" s="111"/>
      <c r="AO10" s="42"/>
      <c r="AP10" s="42"/>
      <c r="AQ10" s="115"/>
      <c r="AR10" s="75"/>
      <c r="AS10" s="40">
        <f t="shared" si="0"/>
        <v>1</v>
      </c>
      <c r="AT10" s="31" t="s">
        <v>1744</v>
      </c>
      <c r="AW10" s="42">
        <f t="shared" si="1"/>
        <v>0</v>
      </c>
      <c r="AX10" s="42">
        <f t="shared" si="2"/>
        <v>1</v>
      </c>
      <c r="AY10" s="42">
        <f t="shared" si="3"/>
        <v>1</v>
      </c>
      <c r="AZ10" s="42">
        <f t="shared" si="4"/>
        <v>0</v>
      </c>
      <c r="BA10" s="42">
        <f>COUNTA(#REF!)</f>
        <v>1</v>
      </c>
      <c r="BB10" s="42">
        <f t="shared" si="5"/>
        <v>0</v>
      </c>
      <c r="BC10" s="42"/>
      <c r="BD10" s="42"/>
      <c r="BE10" s="42">
        <v>-1</v>
      </c>
    </row>
    <row r="11" spans="1:61" ht="26" hidden="1" x14ac:dyDescent="0.35">
      <c r="A11" s="199" t="s">
        <v>2639</v>
      </c>
      <c r="B11" s="199" t="s">
        <v>2649</v>
      </c>
      <c r="C11" s="200" t="s">
        <v>96</v>
      </c>
      <c r="D11" s="200" t="s">
        <v>8</v>
      </c>
      <c r="E11" s="200">
        <v>200</v>
      </c>
      <c r="F11" s="200" t="s">
        <v>97</v>
      </c>
      <c r="G11" s="85">
        <v>2</v>
      </c>
      <c r="H11" s="86"/>
      <c r="I11" s="87"/>
      <c r="J11" s="88"/>
      <c r="K11" s="89"/>
      <c r="L11" s="90" t="s">
        <v>12</v>
      </c>
      <c r="M11" s="165"/>
      <c r="N11" s="134"/>
      <c r="O11" s="45" t="s">
        <v>12</v>
      </c>
      <c r="P11" s="130"/>
      <c r="Q11" s="45"/>
      <c r="R11" s="136"/>
      <c r="S11" s="139"/>
      <c r="T11" s="136"/>
      <c r="U11" s="139"/>
      <c r="V11" s="45"/>
      <c r="W11" s="136"/>
      <c r="X11" s="134"/>
      <c r="Y11" s="166"/>
      <c r="Z11" s="126"/>
      <c r="AA11" s="130"/>
      <c r="AB11" s="126"/>
      <c r="AC11" s="130"/>
      <c r="AD11" s="126"/>
      <c r="AE11" s="130"/>
      <c r="AF11" s="126"/>
      <c r="AG11" s="43"/>
      <c r="AH11" s="44"/>
      <c r="AI11" s="45"/>
      <c r="AJ11" s="46">
        <v>1</v>
      </c>
      <c r="AK11" s="41"/>
      <c r="AL11" s="47"/>
      <c r="AM11" s="48"/>
      <c r="AN11" s="111"/>
      <c r="AO11" s="42"/>
      <c r="AP11" s="42"/>
      <c r="AQ11" s="115"/>
      <c r="AR11" s="75"/>
      <c r="AS11" s="40">
        <f t="shared" si="0"/>
        <v>1</v>
      </c>
      <c r="AT11" s="31" t="s">
        <v>1757</v>
      </c>
      <c r="AW11" s="42">
        <f t="shared" si="1"/>
        <v>-100</v>
      </c>
      <c r="AX11" s="42">
        <f t="shared" si="2"/>
        <v>3</v>
      </c>
      <c r="AY11" s="42">
        <f t="shared" si="3"/>
        <v>2</v>
      </c>
      <c r="AZ11" s="42">
        <f t="shared" si="4"/>
        <v>-1</v>
      </c>
      <c r="BA11" s="42">
        <f>COUNTA(#REF!)</f>
        <v>1</v>
      </c>
      <c r="BB11" s="42">
        <f t="shared" si="5"/>
        <v>0</v>
      </c>
      <c r="BC11" s="42">
        <v>1</v>
      </c>
      <c r="BD11" s="42"/>
      <c r="BE11" s="42">
        <v>0</v>
      </c>
    </row>
    <row r="12" spans="1:61" hidden="1" x14ac:dyDescent="0.35">
      <c r="A12" s="199" t="s">
        <v>2639</v>
      </c>
      <c r="B12" s="199" t="s">
        <v>2649</v>
      </c>
      <c r="C12" s="200" t="s">
        <v>7</v>
      </c>
      <c r="D12" s="200" t="s">
        <v>8</v>
      </c>
      <c r="E12" s="200">
        <v>100</v>
      </c>
      <c r="F12" s="200" t="s">
        <v>9</v>
      </c>
      <c r="G12" s="85">
        <v>1</v>
      </c>
      <c r="H12" s="86"/>
      <c r="I12" s="87"/>
      <c r="J12" s="88"/>
      <c r="K12" s="89"/>
      <c r="L12" s="90"/>
      <c r="M12" s="165"/>
      <c r="N12" s="134"/>
      <c r="O12" s="45" t="s">
        <v>12</v>
      </c>
      <c r="P12" s="130"/>
      <c r="Q12" s="45"/>
      <c r="R12" s="136"/>
      <c r="S12" s="139"/>
      <c r="T12" s="136"/>
      <c r="U12" s="139"/>
      <c r="V12" s="45"/>
      <c r="W12" s="136"/>
      <c r="X12" s="134"/>
      <c r="Y12" s="166"/>
      <c r="Z12" s="126"/>
      <c r="AA12" s="130"/>
      <c r="AB12" s="126"/>
      <c r="AC12" s="130"/>
      <c r="AD12" s="126"/>
      <c r="AE12" s="130"/>
      <c r="AF12" s="126"/>
      <c r="AG12" s="43">
        <v>4</v>
      </c>
      <c r="AH12" s="44">
        <v>2</v>
      </c>
      <c r="AI12" s="45"/>
      <c r="AJ12" s="46">
        <v>2</v>
      </c>
      <c r="AK12" s="41"/>
      <c r="AL12" s="47"/>
      <c r="AM12" s="48"/>
      <c r="AN12" s="111"/>
      <c r="AO12" s="42"/>
      <c r="AP12" s="42"/>
      <c r="AQ12" s="115"/>
      <c r="AR12" s="75"/>
      <c r="AS12" s="40">
        <f t="shared" si="0"/>
        <v>8</v>
      </c>
      <c r="AT12" s="31" t="s">
        <v>751</v>
      </c>
      <c r="AW12" s="42">
        <f t="shared" si="1"/>
        <v>-100</v>
      </c>
      <c r="AX12" s="42">
        <f t="shared" si="2"/>
        <v>2</v>
      </c>
      <c r="AY12" s="42">
        <f t="shared" si="3"/>
        <v>1</v>
      </c>
      <c r="AZ12" s="42">
        <f t="shared" si="4"/>
        <v>0</v>
      </c>
      <c r="BA12" s="42">
        <f>COUNTA(#REF!)</f>
        <v>1</v>
      </c>
      <c r="BB12" s="42">
        <f t="shared" si="5"/>
        <v>0</v>
      </c>
      <c r="BC12" s="42"/>
      <c r="BD12" s="42"/>
      <c r="BE12" s="42">
        <v>0</v>
      </c>
    </row>
    <row r="13" spans="1:61" ht="26" hidden="1" x14ac:dyDescent="0.35">
      <c r="A13" s="199" t="s">
        <v>2639</v>
      </c>
      <c r="B13" s="199" t="s">
        <v>2649</v>
      </c>
      <c r="C13" s="200" t="s">
        <v>47</v>
      </c>
      <c r="D13" s="200" t="s">
        <v>8</v>
      </c>
      <c r="E13" s="200">
        <v>200</v>
      </c>
      <c r="F13" s="200" t="s">
        <v>49</v>
      </c>
      <c r="G13" s="85">
        <v>1</v>
      </c>
      <c r="H13" s="86"/>
      <c r="I13" s="87">
        <v>1</v>
      </c>
      <c r="J13" s="88" t="s">
        <v>12</v>
      </c>
      <c r="K13" s="89"/>
      <c r="L13" s="90" t="s">
        <v>12</v>
      </c>
      <c r="M13" s="165"/>
      <c r="N13" s="134"/>
      <c r="O13" s="45"/>
      <c r="P13" s="130" t="s">
        <v>12</v>
      </c>
      <c r="Q13" s="45"/>
      <c r="R13" s="136"/>
      <c r="S13" s="139"/>
      <c r="T13" s="136"/>
      <c r="U13" s="139"/>
      <c r="V13" s="45"/>
      <c r="W13" s="136"/>
      <c r="X13" s="134"/>
      <c r="Y13" s="166"/>
      <c r="Z13" s="126"/>
      <c r="AA13" s="130"/>
      <c r="AB13" s="126"/>
      <c r="AC13" s="130"/>
      <c r="AD13" s="126"/>
      <c r="AE13" s="130"/>
      <c r="AF13" s="126"/>
      <c r="AG13" s="43">
        <v>1</v>
      </c>
      <c r="AH13" s="44"/>
      <c r="AI13" s="45"/>
      <c r="AJ13" s="46"/>
      <c r="AK13" s="41"/>
      <c r="AL13" s="47"/>
      <c r="AM13" s="48"/>
      <c r="AN13" s="111"/>
      <c r="AO13" s="42"/>
      <c r="AP13" s="42"/>
      <c r="AQ13" s="115"/>
      <c r="AR13" s="75"/>
      <c r="AS13" s="40">
        <f t="shared" si="0"/>
        <v>1</v>
      </c>
      <c r="AT13" s="31" t="s">
        <v>1755</v>
      </c>
      <c r="AW13" s="42">
        <f t="shared" si="1"/>
        <v>100</v>
      </c>
      <c r="AX13" s="42">
        <f t="shared" si="2"/>
        <v>1</v>
      </c>
      <c r="AY13" s="42">
        <f t="shared" si="3"/>
        <v>2</v>
      </c>
      <c r="AZ13" s="42">
        <f t="shared" si="4"/>
        <v>-2</v>
      </c>
      <c r="BA13" s="42">
        <f>COUNTA(#REF!)</f>
        <v>1</v>
      </c>
      <c r="BB13" s="42">
        <f t="shared" si="5"/>
        <v>0</v>
      </c>
      <c r="BC13" s="42"/>
      <c r="BD13" s="42"/>
      <c r="BE13" s="42">
        <v>0</v>
      </c>
    </row>
    <row r="14" spans="1:61" ht="26" hidden="1" x14ac:dyDescent="0.35">
      <c r="A14" s="199" t="s">
        <v>2639</v>
      </c>
      <c r="B14" s="199" t="s">
        <v>2649</v>
      </c>
      <c r="C14" s="200" t="s">
        <v>124</v>
      </c>
      <c r="D14" s="200" t="s">
        <v>8</v>
      </c>
      <c r="E14" s="200">
        <v>0</v>
      </c>
      <c r="F14" s="200" t="s">
        <v>1885</v>
      </c>
      <c r="G14" s="85"/>
      <c r="H14" s="86"/>
      <c r="I14" s="87"/>
      <c r="J14" s="88" t="s">
        <v>12</v>
      </c>
      <c r="K14" s="89"/>
      <c r="L14" s="90"/>
      <c r="M14" s="165"/>
      <c r="N14" s="134"/>
      <c r="O14" s="45"/>
      <c r="P14" s="130"/>
      <c r="Q14" s="45" t="s">
        <v>12</v>
      </c>
      <c r="R14" s="136"/>
      <c r="S14" s="139"/>
      <c r="T14" s="136"/>
      <c r="U14" s="139"/>
      <c r="V14" s="45"/>
      <c r="W14" s="136"/>
      <c r="X14" s="134"/>
      <c r="Y14" s="166"/>
      <c r="Z14" s="126"/>
      <c r="AA14" s="130"/>
      <c r="AB14" s="126"/>
      <c r="AC14" s="130"/>
      <c r="AD14" s="126"/>
      <c r="AE14" s="130"/>
      <c r="AF14" s="126"/>
      <c r="AG14" s="43"/>
      <c r="AH14" s="44"/>
      <c r="AI14" s="45">
        <v>2</v>
      </c>
      <c r="AJ14" s="46"/>
      <c r="AK14" s="41"/>
      <c r="AL14" s="47"/>
      <c r="AM14" s="48"/>
      <c r="AN14" s="111"/>
      <c r="AO14" s="42"/>
      <c r="AP14" s="42"/>
      <c r="AQ14" s="115"/>
      <c r="AR14" s="75"/>
      <c r="AS14" s="40">
        <f t="shared" si="0"/>
        <v>2</v>
      </c>
      <c r="AT14" s="31" t="s">
        <v>1754</v>
      </c>
      <c r="AW14" s="42">
        <f t="shared" si="1"/>
        <v>0</v>
      </c>
      <c r="AX14" s="42">
        <f t="shared" si="2"/>
        <v>0</v>
      </c>
      <c r="AY14" s="42">
        <f t="shared" si="3"/>
        <v>0</v>
      </c>
      <c r="AZ14" s="42">
        <f t="shared" si="4"/>
        <v>-1</v>
      </c>
      <c r="BA14" s="42">
        <f>COUNTA(#REF!)</f>
        <v>1</v>
      </c>
      <c r="BB14" s="42">
        <f t="shared" si="5"/>
        <v>0</v>
      </c>
      <c r="BC14" s="42"/>
      <c r="BD14" s="42"/>
      <c r="BE14" s="42">
        <v>0</v>
      </c>
    </row>
    <row r="15" spans="1:61" hidden="1" x14ac:dyDescent="0.35">
      <c r="A15" s="199" t="s">
        <v>2639</v>
      </c>
      <c r="B15" s="199" t="s">
        <v>2649</v>
      </c>
      <c r="C15" s="200" t="s">
        <v>72</v>
      </c>
      <c r="D15" s="200" t="s">
        <v>8</v>
      </c>
      <c r="E15" s="200">
        <v>300</v>
      </c>
      <c r="F15" s="200" t="s">
        <v>1856</v>
      </c>
      <c r="G15" s="85"/>
      <c r="H15" s="86"/>
      <c r="I15" s="87">
        <v>3</v>
      </c>
      <c r="J15" s="88" t="s">
        <v>12</v>
      </c>
      <c r="K15" s="89"/>
      <c r="L15" s="90"/>
      <c r="M15" s="165" t="s">
        <v>12</v>
      </c>
      <c r="N15" s="134"/>
      <c r="O15" s="45"/>
      <c r="P15" s="130"/>
      <c r="Q15" s="45"/>
      <c r="R15" s="136"/>
      <c r="S15" s="139"/>
      <c r="T15" s="136"/>
      <c r="U15" s="139"/>
      <c r="V15" s="45"/>
      <c r="W15" s="136"/>
      <c r="X15" s="134"/>
      <c r="Y15" s="166"/>
      <c r="Z15" s="126"/>
      <c r="AA15" s="130" t="s">
        <v>12</v>
      </c>
      <c r="AB15" s="126"/>
      <c r="AC15" s="130"/>
      <c r="AD15" s="126"/>
      <c r="AE15" s="130"/>
      <c r="AF15" s="126"/>
      <c r="AG15" s="43"/>
      <c r="AH15" s="44"/>
      <c r="AI15" s="45"/>
      <c r="AJ15" s="46"/>
      <c r="AK15" s="41">
        <v>1</v>
      </c>
      <c r="AL15" s="47"/>
      <c r="AM15" s="48"/>
      <c r="AN15" s="111"/>
      <c r="AO15" s="42"/>
      <c r="AP15" s="42"/>
      <c r="AQ15" s="115"/>
      <c r="AR15" s="75"/>
      <c r="AS15" s="40">
        <f t="shared" si="0"/>
        <v>1</v>
      </c>
      <c r="AT15" s="31" t="s">
        <v>1758</v>
      </c>
      <c r="AW15" s="42">
        <f t="shared" si="1"/>
        <v>-100</v>
      </c>
      <c r="AX15" s="42">
        <f t="shared" si="2"/>
        <v>4</v>
      </c>
      <c r="AY15" s="42">
        <f t="shared" si="3"/>
        <v>3</v>
      </c>
      <c r="AZ15" s="42">
        <f t="shared" si="4"/>
        <v>-1</v>
      </c>
      <c r="BA15" s="42">
        <f>COUNTA(#REF!)</f>
        <v>1</v>
      </c>
      <c r="BB15" s="42">
        <f t="shared" si="5"/>
        <v>1</v>
      </c>
      <c r="BC15" s="42"/>
      <c r="BD15" s="42">
        <v>-1</v>
      </c>
      <c r="BE15" s="42">
        <v>1</v>
      </c>
    </row>
    <row r="16" spans="1:61" ht="26" hidden="1" x14ac:dyDescent="0.35">
      <c r="A16" s="199" t="s">
        <v>2639</v>
      </c>
      <c r="B16" s="199" t="s">
        <v>2649</v>
      </c>
      <c r="C16" s="200" t="s">
        <v>71</v>
      </c>
      <c r="D16" s="200" t="s">
        <v>8</v>
      </c>
      <c r="E16" s="200">
        <v>100</v>
      </c>
      <c r="F16" s="200" t="s">
        <v>1854</v>
      </c>
      <c r="G16" s="85"/>
      <c r="H16" s="86"/>
      <c r="I16" s="87">
        <v>1</v>
      </c>
      <c r="J16" s="88"/>
      <c r="K16" s="89"/>
      <c r="L16" s="90" t="s">
        <v>12</v>
      </c>
      <c r="M16" s="165"/>
      <c r="N16" s="134"/>
      <c r="O16" s="45"/>
      <c r="P16" s="130"/>
      <c r="Q16" s="45"/>
      <c r="R16" s="136"/>
      <c r="S16" s="139" t="s">
        <v>12</v>
      </c>
      <c r="T16" s="136"/>
      <c r="U16" s="139"/>
      <c r="V16" s="45"/>
      <c r="W16" s="136"/>
      <c r="X16" s="134"/>
      <c r="Y16" s="166"/>
      <c r="Z16" s="126"/>
      <c r="AA16" s="130"/>
      <c r="AB16" s="126"/>
      <c r="AC16" s="130"/>
      <c r="AD16" s="126"/>
      <c r="AE16" s="130"/>
      <c r="AF16" s="126"/>
      <c r="AG16" s="43"/>
      <c r="AH16" s="44"/>
      <c r="AI16" s="45"/>
      <c r="AJ16" s="46"/>
      <c r="AK16" s="41">
        <v>1</v>
      </c>
      <c r="AL16" s="47"/>
      <c r="AM16" s="48"/>
      <c r="AN16" s="111"/>
      <c r="AO16" s="42"/>
      <c r="AP16" s="42"/>
      <c r="AQ16" s="115"/>
      <c r="AR16" s="75"/>
      <c r="AS16" s="40">
        <f t="shared" si="0"/>
        <v>1</v>
      </c>
      <c r="AT16" s="31" t="s">
        <v>751</v>
      </c>
      <c r="AW16" s="42">
        <f t="shared" si="1"/>
        <v>0</v>
      </c>
      <c r="AX16" s="42">
        <f t="shared" si="2"/>
        <v>1</v>
      </c>
      <c r="AY16" s="42">
        <f t="shared" si="3"/>
        <v>1</v>
      </c>
      <c r="AZ16" s="42">
        <f t="shared" si="4"/>
        <v>-1</v>
      </c>
      <c r="BA16" s="42">
        <f>COUNTA(#REF!)</f>
        <v>1</v>
      </c>
      <c r="BB16" s="42">
        <f t="shared" si="5"/>
        <v>0</v>
      </c>
      <c r="BC16" s="42"/>
      <c r="BD16" s="42"/>
      <c r="BE16" s="42">
        <v>0</v>
      </c>
    </row>
    <row r="17" spans="1:57" hidden="1" x14ac:dyDescent="0.35">
      <c r="A17" s="199" t="s">
        <v>2639</v>
      </c>
      <c r="B17" s="199" t="s">
        <v>2649</v>
      </c>
      <c r="C17" s="200" t="s">
        <v>118</v>
      </c>
      <c r="D17" s="200" t="s">
        <v>8</v>
      </c>
      <c r="E17" s="200">
        <v>300</v>
      </c>
      <c r="F17" s="200" t="s">
        <v>119</v>
      </c>
      <c r="G17" s="85">
        <v>2</v>
      </c>
      <c r="H17" s="86"/>
      <c r="I17" s="87"/>
      <c r="J17" s="88"/>
      <c r="K17" s="89"/>
      <c r="L17" s="90" t="s">
        <v>12</v>
      </c>
      <c r="M17" s="165"/>
      <c r="N17" s="134"/>
      <c r="O17" s="45" t="s">
        <v>12</v>
      </c>
      <c r="P17" s="130"/>
      <c r="Q17" s="45"/>
      <c r="R17" s="136"/>
      <c r="S17" s="139"/>
      <c r="T17" s="136"/>
      <c r="U17" s="139"/>
      <c r="V17" s="45"/>
      <c r="W17" s="136"/>
      <c r="X17" s="134"/>
      <c r="Y17" s="166"/>
      <c r="Z17" s="126"/>
      <c r="AA17" s="130"/>
      <c r="AB17" s="126"/>
      <c r="AC17" s="130"/>
      <c r="AD17" s="126"/>
      <c r="AE17" s="130"/>
      <c r="AF17" s="126"/>
      <c r="AG17" s="43"/>
      <c r="AH17" s="44"/>
      <c r="AI17" s="45">
        <v>1</v>
      </c>
      <c r="AJ17" s="46"/>
      <c r="AK17" s="41"/>
      <c r="AL17" s="47"/>
      <c r="AM17" s="48"/>
      <c r="AN17" s="111"/>
      <c r="AO17" s="42"/>
      <c r="AP17" s="42"/>
      <c r="AQ17" s="115"/>
      <c r="AR17" s="75"/>
      <c r="AS17" s="40">
        <f t="shared" si="0"/>
        <v>1</v>
      </c>
      <c r="AT17" s="31" t="s">
        <v>1759</v>
      </c>
      <c r="AW17" s="42">
        <f t="shared" si="1"/>
        <v>-100</v>
      </c>
      <c r="AX17" s="42">
        <f t="shared" si="2"/>
        <v>4</v>
      </c>
      <c r="AY17" s="42">
        <f t="shared" si="3"/>
        <v>2</v>
      </c>
      <c r="AZ17" s="42">
        <f t="shared" si="4"/>
        <v>-1</v>
      </c>
      <c r="BA17" s="42">
        <f>COUNTA(#REF!)</f>
        <v>1</v>
      </c>
      <c r="BB17" s="42">
        <f t="shared" si="5"/>
        <v>0</v>
      </c>
      <c r="BC17" s="42">
        <v>1</v>
      </c>
      <c r="BD17" s="42">
        <v>-1</v>
      </c>
      <c r="BE17" s="42">
        <v>2</v>
      </c>
    </row>
    <row r="18" spans="1:57" hidden="1" x14ac:dyDescent="0.35">
      <c r="A18" s="199" t="s">
        <v>2639</v>
      </c>
      <c r="B18" s="199" t="s">
        <v>2649</v>
      </c>
      <c r="C18" s="200" t="s">
        <v>19</v>
      </c>
      <c r="D18" s="200" t="s">
        <v>8</v>
      </c>
      <c r="E18" s="200">
        <v>200</v>
      </c>
      <c r="F18" s="200" t="s">
        <v>24</v>
      </c>
      <c r="G18" s="85">
        <v>1</v>
      </c>
      <c r="H18" s="86">
        <v>1</v>
      </c>
      <c r="I18" s="87"/>
      <c r="J18" s="88"/>
      <c r="K18" s="89"/>
      <c r="L18" s="90" t="s">
        <v>12</v>
      </c>
      <c r="M18" s="165"/>
      <c r="N18" s="134"/>
      <c r="O18" s="45"/>
      <c r="P18" s="130"/>
      <c r="Q18" s="45"/>
      <c r="R18" s="136"/>
      <c r="S18" s="139"/>
      <c r="T18" s="136"/>
      <c r="U18" s="139" t="s">
        <v>12</v>
      </c>
      <c r="V18" s="45"/>
      <c r="W18" s="136"/>
      <c r="X18" s="134"/>
      <c r="Y18" s="166"/>
      <c r="Z18" s="126"/>
      <c r="AA18" s="130"/>
      <c r="AB18" s="126"/>
      <c r="AC18" s="130"/>
      <c r="AD18" s="126"/>
      <c r="AE18" s="130"/>
      <c r="AF18" s="126"/>
      <c r="AG18" s="43">
        <v>1</v>
      </c>
      <c r="AH18" s="44"/>
      <c r="AI18" s="45"/>
      <c r="AJ18" s="46"/>
      <c r="AK18" s="41"/>
      <c r="AL18" s="47"/>
      <c r="AM18" s="48"/>
      <c r="AN18" s="111"/>
      <c r="AO18" s="42"/>
      <c r="AP18" s="42"/>
      <c r="AQ18" s="115"/>
      <c r="AR18" s="75"/>
      <c r="AS18" s="40">
        <f t="shared" si="0"/>
        <v>1</v>
      </c>
      <c r="AT18" s="31" t="s">
        <v>1745</v>
      </c>
      <c r="AW18" s="42">
        <f t="shared" si="1"/>
        <v>0</v>
      </c>
      <c r="AX18" s="42">
        <f t="shared" si="2"/>
        <v>2</v>
      </c>
      <c r="AY18" s="42">
        <f t="shared" si="3"/>
        <v>2</v>
      </c>
      <c r="AZ18" s="42">
        <f t="shared" si="4"/>
        <v>-1</v>
      </c>
      <c r="BA18" s="42">
        <f>COUNTA(#REF!)</f>
        <v>1</v>
      </c>
      <c r="BB18" s="42">
        <f t="shared" si="5"/>
        <v>0</v>
      </c>
      <c r="BC18" s="42"/>
      <c r="BD18" s="42"/>
      <c r="BE18" s="42">
        <v>0</v>
      </c>
    </row>
    <row r="19" spans="1:57" hidden="1" x14ac:dyDescent="0.35">
      <c r="A19" s="199" t="s">
        <v>2639</v>
      </c>
      <c r="B19" s="199" t="s">
        <v>2649</v>
      </c>
      <c r="C19" s="200" t="s">
        <v>98</v>
      </c>
      <c r="D19" s="200" t="s">
        <v>8</v>
      </c>
      <c r="E19" s="200">
        <v>300</v>
      </c>
      <c r="F19" s="200" t="s">
        <v>1869</v>
      </c>
      <c r="G19" s="85"/>
      <c r="H19" s="86">
        <v>3</v>
      </c>
      <c r="I19" s="87"/>
      <c r="J19" s="88" t="s">
        <v>12</v>
      </c>
      <c r="K19" s="89"/>
      <c r="L19" s="90"/>
      <c r="M19" s="165"/>
      <c r="N19" s="134"/>
      <c r="O19" s="45"/>
      <c r="P19" s="130"/>
      <c r="Q19" s="45"/>
      <c r="R19" s="136" t="s">
        <v>12</v>
      </c>
      <c r="S19" s="139"/>
      <c r="T19" s="136"/>
      <c r="U19" s="139"/>
      <c r="V19" s="45"/>
      <c r="W19" s="136"/>
      <c r="X19" s="134"/>
      <c r="Y19" s="166"/>
      <c r="Z19" s="126"/>
      <c r="AA19" s="130"/>
      <c r="AB19" s="126"/>
      <c r="AC19" s="130"/>
      <c r="AD19" s="126"/>
      <c r="AE19" s="130"/>
      <c r="AF19" s="126"/>
      <c r="AG19" s="43"/>
      <c r="AH19" s="44"/>
      <c r="AI19" s="45"/>
      <c r="AJ19" s="46">
        <v>1</v>
      </c>
      <c r="AK19" s="41"/>
      <c r="AL19" s="47"/>
      <c r="AM19" s="48"/>
      <c r="AN19" s="111"/>
      <c r="AO19" s="42"/>
      <c r="AP19" s="42"/>
      <c r="AQ19" s="115"/>
      <c r="AR19" s="75"/>
      <c r="AS19" s="40">
        <f t="shared" si="0"/>
        <v>1</v>
      </c>
      <c r="AT19" s="31" t="s">
        <v>1758</v>
      </c>
      <c r="AW19" s="42">
        <f t="shared" si="1"/>
        <v>0</v>
      </c>
      <c r="AX19" s="42">
        <f t="shared" si="2"/>
        <v>3</v>
      </c>
      <c r="AY19" s="42">
        <f t="shared" si="3"/>
        <v>3</v>
      </c>
      <c r="AZ19" s="42">
        <f t="shared" si="4"/>
        <v>-1</v>
      </c>
      <c r="BA19" s="42">
        <f>COUNTA(#REF!)</f>
        <v>1</v>
      </c>
      <c r="BB19" s="42">
        <f t="shared" si="5"/>
        <v>0</v>
      </c>
      <c r="BC19" s="42"/>
      <c r="BD19" s="42">
        <v>-1</v>
      </c>
      <c r="BE19" s="42">
        <v>1</v>
      </c>
    </row>
    <row r="20" spans="1:57" ht="26" hidden="1" x14ac:dyDescent="0.35">
      <c r="A20" s="199" t="s">
        <v>2639</v>
      </c>
      <c r="B20" s="199" t="s">
        <v>2649</v>
      </c>
      <c r="C20" s="200" t="s">
        <v>99</v>
      </c>
      <c r="D20" s="200" t="s">
        <v>8</v>
      </c>
      <c r="E20" s="200">
        <v>200</v>
      </c>
      <c r="F20" s="200" t="s">
        <v>100</v>
      </c>
      <c r="G20" s="85"/>
      <c r="H20" s="86"/>
      <c r="I20" s="87">
        <v>2</v>
      </c>
      <c r="J20" s="88" t="s">
        <v>12</v>
      </c>
      <c r="K20" s="89"/>
      <c r="L20" s="90"/>
      <c r="M20" s="165"/>
      <c r="N20" s="134"/>
      <c r="O20" s="45"/>
      <c r="P20" s="130" t="s">
        <v>12</v>
      </c>
      <c r="Q20" s="45"/>
      <c r="R20" s="136"/>
      <c r="S20" s="139"/>
      <c r="T20" s="136"/>
      <c r="U20" s="139"/>
      <c r="V20" s="45"/>
      <c r="W20" s="136"/>
      <c r="X20" s="134"/>
      <c r="Y20" s="166"/>
      <c r="Z20" s="126"/>
      <c r="AA20" s="130"/>
      <c r="AB20" s="126"/>
      <c r="AC20" s="130"/>
      <c r="AD20" s="126"/>
      <c r="AE20" s="130"/>
      <c r="AF20" s="126"/>
      <c r="AG20" s="43"/>
      <c r="AH20" s="44"/>
      <c r="AI20" s="45"/>
      <c r="AJ20" s="46">
        <v>1</v>
      </c>
      <c r="AK20" s="41"/>
      <c r="AL20" s="47"/>
      <c r="AM20" s="48"/>
      <c r="AN20" s="111"/>
      <c r="AO20" s="42"/>
      <c r="AP20" s="42"/>
      <c r="AQ20" s="115"/>
      <c r="AR20" s="75"/>
      <c r="AS20" s="40">
        <f t="shared" si="0"/>
        <v>1</v>
      </c>
      <c r="AT20" s="31" t="s">
        <v>1755</v>
      </c>
      <c r="AW20" s="42">
        <f t="shared" si="1"/>
        <v>0</v>
      </c>
      <c r="AX20" s="42">
        <f t="shared" si="2"/>
        <v>2</v>
      </c>
      <c r="AY20" s="42">
        <f t="shared" si="3"/>
        <v>2</v>
      </c>
      <c r="AZ20" s="42">
        <f t="shared" si="4"/>
        <v>-1</v>
      </c>
      <c r="BA20" s="42">
        <f>COUNTA(#REF!)</f>
        <v>1</v>
      </c>
      <c r="BB20" s="42">
        <f t="shared" si="5"/>
        <v>0</v>
      </c>
      <c r="BC20" s="42"/>
      <c r="BD20" s="42"/>
      <c r="BE20" s="42">
        <v>0</v>
      </c>
    </row>
    <row r="21" spans="1:57" hidden="1" x14ac:dyDescent="0.35">
      <c r="A21" s="199" t="s">
        <v>2639</v>
      </c>
      <c r="B21" s="199" t="s">
        <v>2649</v>
      </c>
      <c r="C21" s="200" t="s">
        <v>101</v>
      </c>
      <c r="D21" s="200" t="s">
        <v>8</v>
      </c>
      <c r="E21" s="200">
        <v>200</v>
      </c>
      <c r="F21" s="200" t="s">
        <v>1872</v>
      </c>
      <c r="G21" s="85">
        <v>2</v>
      </c>
      <c r="H21" s="86"/>
      <c r="I21" s="87"/>
      <c r="J21" s="88"/>
      <c r="K21" s="89"/>
      <c r="L21" s="90"/>
      <c r="M21" s="165"/>
      <c r="N21" s="134"/>
      <c r="O21" s="45"/>
      <c r="P21" s="130"/>
      <c r="Q21" s="45"/>
      <c r="R21" s="136"/>
      <c r="S21" s="139"/>
      <c r="T21" s="136"/>
      <c r="U21" s="139"/>
      <c r="V21" s="45" t="s">
        <v>12</v>
      </c>
      <c r="W21" s="136"/>
      <c r="X21" s="134"/>
      <c r="Y21" s="166"/>
      <c r="Z21" s="126"/>
      <c r="AA21" s="130"/>
      <c r="AB21" s="126"/>
      <c r="AC21" s="130"/>
      <c r="AD21" s="126"/>
      <c r="AE21" s="130"/>
      <c r="AF21" s="126"/>
      <c r="AG21" s="43"/>
      <c r="AH21" s="44"/>
      <c r="AI21" s="45"/>
      <c r="AJ21" s="46">
        <v>1</v>
      </c>
      <c r="AK21" s="41"/>
      <c r="AL21" s="47"/>
      <c r="AM21" s="48"/>
      <c r="AN21" s="111"/>
      <c r="AO21" s="42"/>
      <c r="AP21" s="42"/>
      <c r="AQ21" s="115"/>
      <c r="AR21" s="75"/>
      <c r="AS21" s="40">
        <f t="shared" si="0"/>
        <v>1</v>
      </c>
      <c r="AT21" s="31" t="s">
        <v>1748</v>
      </c>
      <c r="AW21" s="42">
        <f t="shared" si="1"/>
        <v>-100</v>
      </c>
      <c r="AX21" s="42">
        <f t="shared" si="2"/>
        <v>3</v>
      </c>
      <c r="AY21" s="42">
        <f t="shared" si="3"/>
        <v>2</v>
      </c>
      <c r="AZ21" s="42">
        <f t="shared" si="4"/>
        <v>0</v>
      </c>
      <c r="BA21" s="42">
        <f>COUNTA(#REF!)</f>
        <v>1</v>
      </c>
      <c r="BB21" s="42">
        <f t="shared" si="5"/>
        <v>0</v>
      </c>
      <c r="BC21" s="42">
        <v>1</v>
      </c>
      <c r="BD21" s="42">
        <v>-1</v>
      </c>
      <c r="BE21" s="42">
        <v>0</v>
      </c>
    </row>
    <row r="22" spans="1:57" ht="26" hidden="1" x14ac:dyDescent="0.35">
      <c r="A22" s="199" t="s">
        <v>2639</v>
      </c>
      <c r="B22" s="199" t="s">
        <v>2649</v>
      </c>
      <c r="C22" s="200" t="s">
        <v>70</v>
      </c>
      <c r="D22" s="200" t="s">
        <v>8</v>
      </c>
      <c r="E22" s="200">
        <v>200</v>
      </c>
      <c r="F22" s="200" t="s">
        <v>1854</v>
      </c>
      <c r="G22" s="85"/>
      <c r="H22" s="86">
        <v>1</v>
      </c>
      <c r="I22" s="87"/>
      <c r="J22" s="88" t="s">
        <v>12</v>
      </c>
      <c r="K22" s="89"/>
      <c r="L22" s="90"/>
      <c r="M22" s="165"/>
      <c r="N22" s="134"/>
      <c r="O22" s="45"/>
      <c r="P22" s="130"/>
      <c r="Q22" s="45"/>
      <c r="R22" s="136"/>
      <c r="S22" s="139" t="s">
        <v>12</v>
      </c>
      <c r="T22" s="136"/>
      <c r="U22" s="139"/>
      <c r="V22" s="45"/>
      <c r="W22" s="136"/>
      <c r="X22" s="134"/>
      <c r="Y22" s="166"/>
      <c r="Z22" s="126"/>
      <c r="AA22" s="130"/>
      <c r="AB22" s="126"/>
      <c r="AC22" s="130"/>
      <c r="AD22" s="126"/>
      <c r="AE22" s="130"/>
      <c r="AF22" s="126"/>
      <c r="AG22" s="43"/>
      <c r="AH22" s="44"/>
      <c r="AI22" s="45"/>
      <c r="AJ22" s="46"/>
      <c r="AK22" s="41">
        <v>4</v>
      </c>
      <c r="AL22" s="47"/>
      <c r="AM22" s="48"/>
      <c r="AN22" s="111"/>
      <c r="AO22" s="42"/>
      <c r="AP22" s="42"/>
      <c r="AQ22" s="115"/>
      <c r="AR22" s="75"/>
      <c r="AS22" s="40">
        <f t="shared" si="0"/>
        <v>4</v>
      </c>
      <c r="AT22" s="31" t="s">
        <v>751</v>
      </c>
      <c r="AW22" s="42">
        <f t="shared" si="1"/>
        <v>100</v>
      </c>
      <c r="AX22" s="42">
        <f t="shared" si="2"/>
        <v>1</v>
      </c>
      <c r="AY22" s="42">
        <f t="shared" si="3"/>
        <v>1</v>
      </c>
      <c r="AZ22" s="42">
        <f t="shared" si="4"/>
        <v>-1</v>
      </c>
      <c r="BA22" s="42">
        <f>COUNTA(#REF!)</f>
        <v>1</v>
      </c>
      <c r="BB22" s="42">
        <f t="shared" si="5"/>
        <v>0</v>
      </c>
      <c r="BC22" s="42"/>
      <c r="BD22" s="42"/>
      <c r="BE22" s="42">
        <v>0</v>
      </c>
    </row>
    <row r="23" spans="1:57" ht="39" hidden="1" x14ac:dyDescent="0.35">
      <c r="A23" s="199" t="s">
        <v>2639</v>
      </c>
      <c r="B23" s="199" t="s">
        <v>2649</v>
      </c>
      <c r="C23" s="200" t="s">
        <v>53</v>
      </c>
      <c r="D23" s="200" t="s">
        <v>8</v>
      </c>
      <c r="E23" s="200">
        <v>0</v>
      </c>
      <c r="F23" s="200" t="s">
        <v>1860</v>
      </c>
      <c r="G23" s="85"/>
      <c r="H23" s="86"/>
      <c r="I23" s="87"/>
      <c r="J23" s="88" t="s">
        <v>12</v>
      </c>
      <c r="K23" s="89"/>
      <c r="L23" s="90" t="s">
        <v>12</v>
      </c>
      <c r="M23" s="165"/>
      <c r="N23" s="134"/>
      <c r="O23" s="45"/>
      <c r="P23" s="130"/>
      <c r="Q23" s="45"/>
      <c r="R23" s="136"/>
      <c r="S23" s="139"/>
      <c r="T23" s="136"/>
      <c r="U23" s="139"/>
      <c r="V23" s="45"/>
      <c r="W23" s="136"/>
      <c r="X23" s="134"/>
      <c r="Y23" s="166"/>
      <c r="Z23" s="126"/>
      <c r="AA23" s="130"/>
      <c r="AB23" s="126"/>
      <c r="AC23" s="130"/>
      <c r="AD23" s="126"/>
      <c r="AE23" s="130"/>
      <c r="AF23" s="126"/>
      <c r="AG23" s="43"/>
      <c r="AH23" s="44">
        <v>1</v>
      </c>
      <c r="AI23" s="45"/>
      <c r="AJ23" s="46"/>
      <c r="AK23" s="41"/>
      <c r="AL23" s="47"/>
      <c r="AM23" s="48"/>
      <c r="AN23" s="111"/>
      <c r="AO23" s="42"/>
      <c r="AP23" s="42"/>
      <c r="AQ23" s="115"/>
      <c r="AR23" s="75"/>
      <c r="AS23" s="40">
        <f t="shared" si="0"/>
        <v>1</v>
      </c>
      <c r="AT23" s="31" t="s">
        <v>1753</v>
      </c>
      <c r="AW23" s="42">
        <f t="shared" si="1"/>
        <v>-100</v>
      </c>
      <c r="AX23" s="42">
        <f t="shared" si="2"/>
        <v>1</v>
      </c>
      <c r="AY23" s="42">
        <f t="shared" si="3"/>
        <v>0</v>
      </c>
      <c r="AZ23" s="42">
        <f t="shared" si="4"/>
        <v>-2</v>
      </c>
      <c r="BA23" s="42">
        <f>COUNTA(#REF!)</f>
        <v>1</v>
      </c>
      <c r="BB23" s="42">
        <f t="shared" si="5"/>
        <v>0</v>
      </c>
      <c r="BC23" s="42"/>
      <c r="BD23" s="42">
        <v>-1</v>
      </c>
      <c r="BE23" s="42">
        <v>3</v>
      </c>
    </row>
    <row r="24" spans="1:57" ht="26" hidden="1" x14ac:dyDescent="0.35">
      <c r="A24" s="199" t="s">
        <v>2639</v>
      </c>
      <c r="B24" s="199" t="s">
        <v>2649</v>
      </c>
      <c r="C24" s="200" t="s">
        <v>122</v>
      </c>
      <c r="D24" s="200" t="s">
        <v>8</v>
      </c>
      <c r="E24" s="200">
        <v>300</v>
      </c>
      <c r="F24" s="200" t="s">
        <v>123</v>
      </c>
      <c r="G24" s="85"/>
      <c r="H24" s="86">
        <v>1</v>
      </c>
      <c r="I24" s="87">
        <v>2</v>
      </c>
      <c r="J24" s="88"/>
      <c r="K24" s="89"/>
      <c r="L24" s="90"/>
      <c r="M24" s="165" t="s">
        <v>12</v>
      </c>
      <c r="N24" s="134"/>
      <c r="O24" s="45"/>
      <c r="P24" s="130" t="s">
        <v>12</v>
      </c>
      <c r="Q24" s="45"/>
      <c r="R24" s="136"/>
      <c r="S24" s="139"/>
      <c r="T24" s="136"/>
      <c r="U24" s="139"/>
      <c r="V24" s="45"/>
      <c r="W24" s="136"/>
      <c r="X24" s="134"/>
      <c r="Y24" s="166"/>
      <c r="Z24" s="126"/>
      <c r="AA24" s="130"/>
      <c r="AB24" s="126"/>
      <c r="AC24" s="130"/>
      <c r="AD24" s="126"/>
      <c r="AE24" s="130"/>
      <c r="AF24" s="126"/>
      <c r="AG24" s="43"/>
      <c r="AH24" s="44"/>
      <c r="AI24" s="45">
        <v>1</v>
      </c>
      <c r="AJ24" s="46"/>
      <c r="AK24" s="41"/>
      <c r="AL24" s="47"/>
      <c r="AM24" s="48"/>
      <c r="AN24" s="111"/>
      <c r="AO24" s="42"/>
      <c r="AP24" s="42"/>
      <c r="AQ24" s="115"/>
      <c r="AR24" s="75"/>
      <c r="AS24" s="40">
        <f t="shared" si="0"/>
        <v>1</v>
      </c>
      <c r="AT24" s="31" t="s">
        <v>1744</v>
      </c>
      <c r="AW24" s="42">
        <f t="shared" si="1"/>
        <v>0</v>
      </c>
      <c r="AX24" s="42">
        <f t="shared" si="2"/>
        <v>3</v>
      </c>
      <c r="AY24" s="42">
        <f t="shared" si="3"/>
        <v>3</v>
      </c>
      <c r="AZ24" s="42">
        <f t="shared" si="4"/>
        <v>0</v>
      </c>
      <c r="BA24" s="42">
        <f>COUNTA(#REF!)</f>
        <v>1</v>
      </c>
      <c r="BB24" s="42">
        <f t="shared" si="5"/>
        <v>0</v>
      </c>
      <c r="BC24" s="42"/>
      <c r="BD24" s="42"/>
      <c r="BE24" s="42">
        <v>-1</v>
      </c>
    </row>
    <row r="25" spans="1:57" hidden="1" x14ac:dyDescent="0.35">
      <c r="A25" s="199" t="s">
        <v>2639</v>
      </c>
      <c r="B25" s="199" t="s">
        <v>2649</v>
      </c>
      <c r="C25" s="200" t="s">
        <v>13</v>
      </c>
      <c r="D25" s="200" t="s">
        <v>8</v>
      </c>
      <c r="E25" s="200">
        <v>200</v>
      </c>
      <c r="F25" s="200" t="s">
        <v>14</v>
      </c>
      <c r="G25" s="85"/>
      <c r="H25" s="86">
        <v>1</v>
      </c>
      <c r="I25" s="87"/>
      <c r="J25" s="88"/>
      <c r="K25" s="89"/>
      <c r="L25" s="90"/>
      <c r="M25" s="165"/>
      <c r="N25" s="134"/>
      <c r="O25" s="45"/>
      <c r="P25" s="130"/>
      <c r="Q25" s="45"/>
      <c r="R25" s="136"/>
      <c r="S25" s="139"/>
      <c r="T25" s="136"/>
      <c r="U25" s="139" t="s">
        <v>12</v>
      </c>
      <c r="V25" s="45"/>
      <c r="W25" s="136"/>
      <c r="X25" s="134"/>
      <c r="Y25" s="166"/>
      <c r="Z25" s="126"/>
      <c r="AA25" s="130"/>
      <c r="AB25" s="126"/>
      <c r="AC25" s="130"/>
      <c r="AD25" s="126"/>
      <c r="AE25" s="130"/>
      <c r="AF25" s="126"/>
      <c r="AG25" s="43">
        <v>3</v>
      </c>
      <c r="AH25" s="44"/>
      <c r="AI25" s="45"/>
      <c r="AJ25" s="46"/>
      <c r="AK25" s="41"/>
      <c r="AL25" s="47"/>
      <c r="AM25" s="48"/>
      <c r="AN25" s="111"/>
      <c r="AO25" s="42"/>
      <c r="AP25" s="42"/>
      <c r="AQ25" s="115"/>
      <c r="AR25" s="75"/>
      <c r="AS25" s="40">
        <f t="shared" si="0"/>
        <v>3</v>
      </c>
      <c r="AT25" s="31" t="s">
        <v>1745</v>
      </c>
      <c r="AW25" s="42">
        <f t="shared" si="1"/>
        <v>0</v>
      </c>
      <c r="AX25" s="42">
        <f t="shared" si="2"/>
        <v>2</v>
      </c>
      <c r="AY25" s="42">
        <f t="shared" si="3"/>
        <v>1</v>
      </c>
      <c r="AZ25" s="42">
        <f t="shared" si="4"/>
        <v>0</v>
      </c>
      <c r="BA25" s="42">
        <f>COUNTA(#REF!)</f>
        <v>1</v>
      </c>
      <c r="BB25" s="42">
        <f t="shared" si="5"/>
        <v>0</v>
      </c>
      <c r="BC25" s="42"/>
      <c r="BD25" s="42"/>
      <c r="BE25" s="42">
        <v>0</v>
      </c>
    </row>
    <row r="26" spans="1:57" hidden="1" x14ac:dyDescent="0.35">
      <c r="A26" s="199" t="s">
        <v>2639</v>
      </c>
      <c r="B26" s="199" t="s">
        <v>2649</v>
      </c>
      <c r="C26" s="200" t="s">
        <v>13</v>
      </c>
      <c r="D26" s="200" t="s">
        <v>8</v>
      </c>
      <c r="E26" s="200">
        <v>200</v>
      </c>
      <c r="F26" s="200" t="s">
        <v>45</v>
      </c>
      <c r="G26" s="85"/>
      <c r="H26" s="86">
        <v>1</v>
      </c>
      <c r="I26" s="87"/>
      <c r="J26" s="88"/>
      <c r="K26" s="89"/>
      <c r="L26" s="90"/>
      <c r="M26" s="165"/>
      <c r="N26" s="134"/>
      <c r="O26" s="45"/>
      <c r="P26" s="130"/>
      <c r="Q26" s="45"/>
      <c r="R26" s="136" t="s">
        <v>12</v>
      </c>
      <c r="S26" s="139"/>
      <c r="T26" s="136"/>
      <c r="U26" s="139"/>
      <c r="V26" s="45"/>
      <c r="W26" s="136"/>
      <c r="X26" s="134"/>
      <c r="Y26" s="166"/>
      <c r="Z26" s="126"/>
      <c r="AA26" s="130"/>
      <c r="AB26" s="126"/>
      <c r="AC26" s="130"/>
      <c r="AD26" s="126"/>
      <c r="AE26" s="130"/>
      <c r="AF26" s="126"/>
      <c r="AG26" s="43"/>
      <c r="AH26" s="44">
        <v>3</v>
      </c>
      <c r="AI26" s="45"/>
      <c r="AJ26" s="46"/>
      <c r="AK26" s="41"/>
      <c r="AL26" s="47"/>
      <c r="AM26" s="48"/>
      <c r="AN26" s="111"/>
      <c r="AO26" s="42"/>
      <c r="AP26" s="42"/>
      <c r="AQ26" s="115"/>
      <c r="AR26" s="75"/>
      <c r="AS26" s="40">
        <f t="shared" si="0"/>
        <v>3</v>
      </c>
      <c r="AT26" s="31" t="s">
        <v>1745</v>
      </c>
      <c r="AW26" s="42">
        <f t="shared" si="1"/>
        <v>0</v>
      </c>
      <c r="AX26" s="42">
        <f t="shared" si="2"/>
        <v>2</v>
      </c>
      <c r="AY26" s="42">
        <f t="shared" si="3"/>
        <v>1</v>
      </c>
      <c r="AZ26" s="42">
        <f t="shared" si="4"/>
        <v>0</v>
      </c>
      <c r="BA26" s="42">
        <f>COUNTA(#REF!)</f>
        <v>1</v>
      </c>
      <c r="BB26" s="42">
        <f t="shared" si="5"/>
        <v>0</v>
      </c>
      <c r="BC26" s="42"/>
      <c r="BD26" s="42"/>
      <c r="BE26" s="42">
        <v>0</v>
      </c>
    </row>
    <row r="27" spans="1:57" ht="26" hidden="1" x14ac:dyDescent="0.35">
      <c r="A27" s="199" t="s">
        <v>2639</v>
      </c>
      <c r="B27" s="199" t="s">
        <v>2649</v>
      </c>
      <c r="C27" s="200" t="s">
        <v>54</v>
      </c>
      <c r="D27" s="200" t="s">
        <v>8</v>
      </c>
      <c r="E27" s="200">
        <v>0</v>
      </c>
      <c r="F27" s="200" t="s">
        <v>60</v>
      </c>
      <c r="G27" s="85">
        <v>1</v>
      </c>
      <c r="H27" s="86"/>
      <c r="I27" s="87">
        <v>1</v>
      </c>
      <c r="J27" s="88" t="s">
        <v>12</v>
      </c>
      <c r="K27" s="89"/>
      <c r="L27" s="90"/>
      <c r="M27" s="165"/>
      <c r="N27" s="134"/>
      <c r="O27" s="45"/>
      <c r="P27" s="130"/>
      <c r="Q27" s="45"/>
      <c r="R27" s="136"/>
      <c r="S27" s="139"/>
      <c r="T27" s="136"/>
      <c r="U27" s="139"/>
      <c r="V27" s="45" t="s">
        <v>12</v>
      </c>
      <c r="W27" s="136"/>
      <c r="X27" s="134"/>
      <c r="Y27" s="166"/>
      <c r="Z27" s="126" t="s">
        <v>12</v>
      </c>
      <c r="AA27" s="130"/>
      <c r="AB27" s="126"/>
      <c r="AC27" s="130"/>
      <c r="AD27" s="126"/>
      <c r="AE27" s="130"/>
      <c r="AF27" s="126"/>
      <c r="AG27" s="43"/>
      <c r="AH27" s="44">
        <v>1</v>
      </c>
      <c r="AI27" s="45"/>
      <c r="AJ27" s="46"/>
      <c r="AK27" s="41"/>
      <c r="AL27" s="47"/>
      <c r="AM27" s="48"/>
      <c r="AN27" s="111"/>
      <c r="AO27" s="42"/>
      <c r="AP27" s="42"/>
      <c r="AQ27" s="115"/>
      <c r="AR27" s="75"/>
      <c r="AS27" s="40">
        <f t="shared" si="0"/>
        <v>1</v>
      </c>
      <c r="AT27" s="31" t="s">
        <v>1744</v>
      </c>
      <c r="AW27" s="42">
        <f t="shared" si="1"/>
        <v>0</v>
      </c>
      <c r="AX27" s="42">
        <f t="shared" si="2"/>
        <v>0</v>
      </c>
      <c r="AY27" s="42">
        <f t="shared" si="3"/>
        <v>2</v>
      </c>
      <c r="AZ27" s="42">
        <f t="shared" si="4"/>
        <v>-1</v>
      </c>
      <c r="BA27" s="42">
        <f>COUNTA(#REF!)</f>
        <v>1</v>
      </c>
      <c r="BB27" s="42">
        <f t="shared" si="5"/>
        <v>1</v>
      </c>
      <c r="BC27" s="42"/>
      <c r="BD27" s="42">
        <v>-1</v>
      </c>
      <c r="BE27" s="42">
        <v>-2</v>
      </c>
    </row>
    <row r="28" spans="1:57" ht="26" hidden="1" x14ac:dyDescent="0.35">
      <c r="A28" s="199" t="s">
        <v>2639</v>
      </c>
      <c r="B28" s="199" t="s">
        <v>2649</v>
      </c>
      <c r="C28" s="200" t="s">
        <v>55</v>
      </c>
      <c r="D28" s="200" t="s">
        <v>8</v>
      </c>
      <c r="E28" s="200">
        <v>200</v>
      </c>
      <c r="F28" s="200" t="s">
        <v>61</v>
      </c>
      <c r="G28" s="85"/>
      <c r="H28" s="86">
        <v>2</v>
      </c>
      <c r="I28" s="87"/>
      <c r="J28" s="88" t="s">
        <v>12</v>
      </c>
      <c r="K28" s="89"/>
      <c r="L28" s="90" t="s">
        <v>12</v>
      </c>
      <c r="M28" s="165"/>
      <c r="N28" s="134"/>
      <c r="O28" s="45"/>
      <c r="P28" s="130"/>
      <c r="Q28" s="45"/>
      <c r="R28" s="136"/>
      <c r="S28" s="139" t="s">
        <v>12</v>
      </c>
      <c r="T28" s="136"/>
      <c r="U28" s="139"/>
      <c r="V28" s="45"/>
      <c r="W28" s="136"/>
      <c r="X28" s="134"/>
      <c r="Y28" s="166"/>
      <c r="Z28" s="126"/>
      <c r="AA28" s="130" t="s">
        <v>12</v>
      </c>
      <c r="AB28" s="126"/>
      <c r="AC28" s="130"/>
      <c r="AD28" s="126"/>
      <c r="AE28" s="130"/>
      <c r="AF28" s="126"/>
      <c r="AG28" s="43"/>
      <c r="AH28" s="44">
        <v>1</v>
      </c>
      <c r="AI28" s="45"/>
      <c r="AJ28" s="46"/>
      <c r="AK28" s="41"/>
      <c r="AL28" s="47"/>
      <c r="AM28" s="48"/>
      <c r="AN28" s="111"/>
      <c r="AO28" s="42"/>
      <c r="AP28" s="42"/>
      <c r="AQ28" s="115"/>
      <c r="AR28" s="75"/>
      <c r="AS28" s="40">
        <f t="shared" si="0"/>
        <v>1</v>
      </c>
      <c r="AT28" s="31" t="s">
        <v>1762</v>
      </c>
      <c r="AW28" s="42">
        <f t="shared" si="1"/>
        <v>0</v>
      </c>
      <c r="AX28" s="42">
        <f t="shared" si="2"/>
        <v>2</v>
      </c>
      <c r="AY28" s="42">
        <f t="shared" si="3"/>
        <v>2</v>
      </c>
      <c r="AZ28" s="42">
        <f t="shared" si="4"/>
        <v>-2</v>
      </c>
      <c r="BA28" s="42">
        <f>COUNTA(#REF!)</f>
        <v>1</v>
      </c>
      <c r="BB28" s="42">
        <f t="shared" si="5"/>
        <v>1</v>
      </c>
      <c r="BC28" s="42"/>
      <c r="BD28" s="42">
        <v>-1</v>
      </c>
      <c r="BE28" s="42">
        <v>1</v>
      </c>
    </row>
    <row r="29" spans="1:57" x14ac:dyDescent="0.35">
      <c r="A29" s="199" t="s">
        <v>2639</v>
      </c>
      <c r="B29" s="199" t="s">
        <v>2649</v>
      </c>
      <c r="C29" s="200" t="s">
        <v>129</v>
      </c>
      <c r="D29" s="200" t="s">
        <v>8</v>
      </c>
      <c r="E29" s="200">
        <v>200</v>
      </c>
      <c r="F29" s="200" t="s">
        <v>1886</v>
      </c>
      <c r="G29" s="85">
        <v>1</v>
      </c>
      <c r="H29" s="86"/>
      <c r="I29" s="87"/>
      <c r="J29" s="88"/>
      <c r="K29" s="89"/>
      <c r="L29" s="90"/>
      <c r="M29" s="165"/>
      <c r="N29" s="134"/>
      <c r="O29" s="45"/>
      <c r="P29" s="130"/>
      <c r="Q29" s="45"/>
      <c r="R29" s="136"/>
      <c r="S29" s="139"/>
      <c r="T29" s="136"/>
      <c r="U29" s="139"/>
      <c r="V29" s="45" t="s">
        <v>12</v>
      </c>
      <c r="W29" s="136"/>
      <c r="X29" s="134"/>
      <c r="Y29" s="166"/>
      <c r="Z29" s="126"/>
      <c r="AA29" s="130"/>
      <c r="AB29" s="126"/>
      <c r="AC29" s="130"/>
      <c r="AD29" s="126"/>
      <c r="AE29" s="130"/>
      <c r="AF29" s="126"/>
      <c r="AG29" s="43"/>
      <c r="AH29" s="44"/>
      <c r="AI29" s="45">
        <v>1</v>
      </c>
      <c r="AJ29" s="46"/>
      <c r="AK29" s="41"/>
      <c r="AL29" s="47"/>
      <c r="AM29" s="48"/>
      <c r="AN29" s="111"/>
      <c r="AO29" s="42"/>
      <c r="AP29" s="42"/>
      <c r="AQ29" s="115"/>
      <c r="AR29" s="75"/>
      <c r="AS29" s="40">
        <f t="shared" si="0"/>
        <v>1</v>
      </c>
      <c r="AT29" s="31" t="s">
        <v>1750</v>
      </c>
      <c r="AW29" s="42">
        <f t="shared" si="1"/>
        <v>0</v>
      </c>
      <c r="AX29" s="42">
        <f t="shared" si="2"/>
        <v>2</v>
      </c>
      <c r="AY29" s="42">
        <f t="shared" si="3"/>
        <v>1</v>
      </c>
      <c r="AZ29" s="42">
        <f t="shared" si="4"/>
        <v>0</v>
      </c>
      <c r="BA29" s="42">
        <f>COUNTA(#REF!)</f>
        <v>1</v>
      </c>
      <c r="BB29" s="42">
        <f t="shared" si="5"/>
        <v>0</v>
      </c>
      <c r="BC29" s="42"/>
      <c r="BD29" s="42"/>
      <c r="BE29" s="42">
        <v>0</v>
      </c>
    </row>
    <row r="30" spans="1:57" ht="26" hidden="1" x14ac:dyDescent="0.35">
      <c r="A30" s="199" t="s">
        <v>2639</v>
      </c>
      <c r="B30" s="199" t="s">
        <v>2649</v>
      </c>
      <c r="C30" s="200" t="s">
        <v>125</v>
      </c>
      <c r="D30" s="200" t="s">
        <v>8</v>
      </c>
      <c r="E30" s="200">
        <v>100</v>
      </c>
      <c r="F30" s="200" t="s">
        <v>1885</v>
      </c>
      <c r="G30" s="85">
        <v>1</v>
      </c>
      <c r="H30" s="86"/>
      <c r="I30" s="87"/>
      <c r="J30" s="88" t="s">
        <v>12</v>
      </c>
      <c r="K30" s="89"/>
      <c r="L30" s="90"/>
      <c r="M30" s="165"/>
      <c r="N30" s="134"/>
      <c r="O30" s="45"/>
      <c r="P30" s="130"/>
      <c r="Q30" s="45" t="s">
        <v>12</v>
      </c>
      <c r="R30" s="136"/>
      <c r="S30" s="139"/>
      <c r="T30" s="136"/>
      <c r="U30" s="139"/>
      <c r="V30" s="45"/>
      <c r="W30" s="136"/>
      <c r="X30" s="134"/>
      <c r="Y30" s="166"/>
      <c r="Z30" s="126"/>
      <c r="AA30" s="130"/>
      <c r="AB30" s="126"/>
      <c r="AC30" s="130"/>
      <c r="AD30" s="126"/>
      <c r="AE30" s="130"/>
      <c r="AF30" s="126"/>
      <c r="AG30" s="43"/>
      <c r="AH30" s="44"/>
      <c r="AI30" s="45">
        <v>1</v>
      </c>
      <c r="AJ30" s="46"/>
      <c r="AK30" s="41"/>
      <c r="AL30" s="47"/>
      <c r="AM30" s="48"/>
      <c r="AN30" s="111"/>
      <c r="AO30" s="42"/>
      <c r="AP30" s="42"/>
      <c r="AQ30" s="115"/>
      <c r="AR30" s="75"/>
      <c r="AS30" s="40">
        <f t="shared" si="0"/>
        <v>1</v>
      </c>
      <c r="AT30" s="31" t="s">
        <v>1754</v>
      </c>
      <c r="AW30" s="42">
        <f t="shared" si="1"/>
        <v>0</v>
      </c>
      <c r="AX30" s="42">
        <f t="shared" si="2"/>
        <v>1</v>
      </c>
      <c r="AY30" s="42">
        <f t="shared" si="3"/>
        <v>1</v>
      </c>
      <c r="AZ30" s="42">
        <f t="shared" si="4"/>
        <v>-1</v>
      </c>
      <c r="BA30" s="42">
        <f>COUNTA(#REF!)</f>
        <v>1</v>
      </c>
      <c r="BB30" s="42">
        <f t="shared" si="5"/>
        <v>0</v>
      </c>
      <c r="BC30" s="42"/>
      <c r="BD30" s="42"/>
      <c r="BE30" s="42">
        <v>0</v>
      </c>
    </row>
    <row r="31" spans="1:57" ht="26" hidden="1" x14ac:dyDescent="0.35">
      <c r="A31" s="199" t="s">
        <v>2639</v>
      </c>
      <c r="B31" s="199" t="s">
        <v>2649</v>
      </c>
      <c r="C31" s="200" t="s">
        <v>120</v>
      </c>
      <c r="D31" s="200" t="s">
        <v>8</v>
      </c>
      <c r="E31" s="200">
        <v>300</v>
      </c>
      <c r="F31" s="200" t="s">
        <v>1881</v>
      </c>
      <c r="G31" s="85">
        <v>2</v>
      </c>
      <c r="H31" s="86"/>
      <c r="I31" s="87"/>
      <c r="J31" s="88"/>
      <c r="K31" s="89"/>
      <c r="L31" s="90" t="s">
        <v>12</v>
      </c>
      <c r="M31" s="165"/>
      <c r="N31" s="134"/>
      <c r="O31" s="45" t="s">
        <v>12</v>
      </c>
      <c r="P31" s="130"/>
      <c r="Q31" s="45"/>
      <c r="R31" s="136"/>
      <c r="S31" s="139"/>
      <c r="T31" s="136"/>
      <c r="U31" s="139"/>
      <c r="V31" s="45"/>
      <c r="W31" s="136"/>
      <c r="X31" s="134"/>
      <c r="Y31" s="166"/>
      <c r="Z31" s="126"/>
      <c r="AA31" s="130"/>
      <c r="AB31" s="126"/>
      <c r="AC31" s="130"/>
      <c r="AD31" s="126"/>
      <c r="AE31" s="130"/>
      <c r="AF31" s="126"/>
      <c r="AG31" s="43"/>
      <c r="AH31" s="44"/>
      <c r="AI31" s="45">
        <v>1</v>
      </c>
      <c r="AJ31" s="46"/>
      <c r="AK31" s="41"/>
      <c r="AL31" s="47"/>
      <c r="AM31" s="48"/>
      <c r="AN31" s="111"/>
      <c r="AO31" s="42"/>
      <c r="AP31" s="42"/>
      <c r="AQ31" s="115"/>
      <c r="AR31" s="75"/>
      <c r="AS31" s="40">
        <f t="shared" si="0"/>
        <v>1</v>
      </c>
      <c r="AT31" s="31" t="s">
        <v>1761</v>
      </c>
      <c r="AW31" s="42">
        <f t="shared" si="1"/>
        <v>-100</v>
      </c>
      <c r="AX31" s="42">
        <f t="shared" si="2"/>
        <v>4</v>
      </c>
      <c r="AY31" s="42">
        <f t="shared" si="3"/>
        <v>2</v>
      </c>
      <c r="AZ31" s="42">
        <f t="shared" si="4"/>
        <v>-1</v>
      </c>
      <c r="BA31" s="42">
        <f>COUNTA(#REF!)</f>
        <v>1</v>
      </c>
      <c r="BB31" s="42">
        <f t="shared" si="5"/>
        <v>0</v>
      </c>
      <c r="BC31" s="42">
        <v>1</v>
      </c>
      <c r="BD31" s="42"/>
      <c r="BE31" s="42">
        <v>1</v>
      </c>
    </row>
    <row r="32" spans="1:57" ht="26" hidden="1" x14ac:dyDescent="0.35">
      <c r="A32" s="199" t="s">
        <v>2639</v>
      </c>
      <c r="B32" s="199" t="s">
        <v>2649</v>
      </c>
      <c r="C32" s="200" t="s">
        <v>126</v>
      </c>
      <c r="D32" s="200" t="s">
        <v>8</v>
      </c>
      <c r="E32" s="200">
        <v>200</v>
      </c>
      <c r="F32" s="200" t="s">
        <v>1885</v>
      </c>
      <c r="G32" s="85">
        <v>1</v>
      </c>
      <c r="H32" s="86"/>
      <c r="I32" s="87">
        <v>1</v>
      </c>
      <c r="J32" s="88" t="s">
        <v>12</v>
      </c>
      <c r="K32" s="89"/>
      <c r="L32" s="90"/>
      <c r="M32" s="165"/>
      <c r="N32" s="134"/>
      <c r="O32" s="45"/>
      <c r="P32" s="130"/>
      <c r="Q32" s="45" t="s">
        <v>12</v>
      </c>
      <c r="R32" s="136"/>
      <c r="S32" s="139"/>
      <c r="T32" s="136"/>
      <c r="U32" s="139"/>
      <c r="V32" s="45"/>
      <c r="W32" s="136"/>
      <c r="X32" s="134"/>
      <c r="Y32" s="166"/>
      <c r="Z32" s="126"/>
      <c r="AA32" s="130"/>
      <c r="AB32" s="126"/>
      <c r="AC32" s="130"/>
      <c r="AD32" s="126"/>
      <c r="AE32" s="130"/>
      <c r="AF32" s="126"/>
      <c r="AG32" s="43"/>
      <c r="AH32" s="44"/>
      <c r="AI32" s="45">
        <v>1</v>
      </c>
      <c r="AJ32" s="46"/>
      <c r="AK32" s="41"/>
      <c r="AL32" s="47"/>
      <c r="AM32" s="48"/>
      <c r="AN32" s="111"/>
      <c r="AO32" s="42"/>
      <c r="AP32" s="42"/>
      <c r="AQ32" s="115"/>
      <c r="AR32" s="75"/>
      <c r="AS32" s="40">
        <f t="shared" si="0"/>
        <v>1</v>
      </c>
      <c r="AT32" s="31" t="s">
        <v>1754</v>
      </c>
      <c r="AW32" s="42">
        <f t="shared" si="1"/>
        <v>0</v>
      </c>
      <c r="AX32" s="42">
        <f t="shared" si="2"/>
        <v>2</v>
      </c>
      <c r="AY32" s="42">
        <f t="shared" si="3"/>
        <v>2</v>
      </c>
      <c r="AZ32" s="42">
        <f t="shared" si="4"/>
        <v>-1</v>
      </c>
      <c r="BA32" s="42">
        <f>COUNTA(#REF!)</f>
        <v>1</v>
      </c>
      <c r="BB32" s="42">
        <f t="shared" si="5"/>
        <v>0</v>
      </c>
      <c r="BC32" s="42"/>
      <c r="BD32" s="42"/>
      <c r="BE32" s="42">
        <v>0</v>
      </c>
    </row>
    <row r="33" spans="1:62" hidden="1" x14ac:dyDescent="0.35">
      <c r="A33" s="199" t="s">
        <v>2639</v>
      </c>
      <c r="B33" s="199" t="s">
        <v>2649</v>
      </c>
      <c r="C33" s="200" t="s">
        <v>18</v>
      </c>
      <c r="D33" s="200" t="s">
        <v>8</v>
      </c>
      <c r="E33" s="200">
        <v>100</v>
      </c>
      <c r="F33" s="200" t="s">
        <v>23</v>
      </c>
      <c r="G33" s="85">
        <v>1</v>
      </c>
      <c r="H33" s="86"/>
      <c r="I33" s="87">
        <v>1</v>
      </c>
      <c r="J33" s="88"/>
      <c r="K33" s="89"/>
      <c r="L33" s="90" t="s">
        <v>12</v>
      </c>
      <c r="M33" s="165"/>
      <c r="N33" s="134"/>
      <c r="O33" s="45"/>
      <c r="P33" s="130" t="s">
        <v>12</v>
      </c>
      <c r="Q33" s="45"/>
      <c r="R33" s="136"/>
      <c r="S33" s="139"/>
      <c r="T33" s="136"/>
      <c r="U33" s="139"/>
      <c r="V33" s="45"/>
      <c r="W33" s="136"/>
      <c r="X33" s="134"/>
      <c r="Y33" s="166"/>
      <c r="Z33" s="126"/>
      <c r="AA33" s="130"/>
      <c r="AB33" s="126"/>
      <c r="AC33" s="130"/>
      <c r="AD33" s="126"/>
      <c r="AE33" s="130"/>
      <c r="AF33" s="126"/>
      <c r="AG33" s="43">
        <v>1</v>
      </c>
      <c r="AH33" s="44"/>
      <c r="AI33" s="45"/>
      <c r="AJ33" s="46"/>
      <c r="AK33" s="41"/>
      <c r="AL33" s="47"/>
      <c r="AM33" s="48"/>
      <c r="AN33" s="111"/>
      <c r="AO33" s="42"/>
      <c r="AP33" s="42"/>
      <c r="AQ33" s="115"/>
      <c r="AR33" s="75"/>
      <c r="AS33" s="40">
        <f t="shared" si="0"/>
        <v>1</v>
      </c>
      <c r="AT33" s="31" t="s">
        <v>1744</v>
      </c>
      <c r="AW33" s="42">
        <f t="shared" si="1"/>
        <v>0</v>
      </c>
      <c r="AX33" s="42">
        <f t="shared" si="2"/>
        <v>1</v>
      </c>
      <c r="AY33" s="42">
        <f t="shared" si="3"/>
        <v>2</v>
      </c>
      <c r="AZ33" s="42">
        <f t="shared" si="4"/>
        <v>-1</v>
      </c>
      <c r="BA33" s="42">
        <f>COUNTA(#REF!)</f>
        <v>1</v>
      </c>
      <c r="BB33" s="42">
        <f t="shared" si="5"/>
        <v>0</v>
      </c>
      <c r="BC33" s="42"/>
      <c r="BD33" s="42"/>
      <c r="BE33" s="42">
        <v>-1</v>
      </c>
    </row>
    <row r="34" spans="1:62" ht="26" x14ac:dyDescent="0.35">
      <c r="A34" s="199" t="s">
        <v>2639</v>
      </c>
      <c r="B34" s="199" t="s">
        <v>2649</v>
      </c>
      <c r="C34" s="200" t="s">
        <v>102</v>
      </c>
      <c r="D34" s="200" t="s">
        <v>8</v>
      </c>
      <c r="E34" s="200">
        <v>200</v>
      </c>
      <c r="F34" s="200" t="s">
        <v>103</v>
      </c>
      <c r="G34" s="85">
        <v>1</v>
      </c>
      <c r="H34" s="86"/>
      <c r="I34" s="87"/>
      <c r="J34" s="88"/>
      <c r="K34" s="89"/>
      <c r="L34" s="90" t="s">
        <v>12</v>
      </c>
      <c r="M34" s="165"/>
      <c r="N34" s="134"/>
      <c r="O34" s="45" t="s">
        <v>12</v>
      </c>
      <c r="P34" s="130"/>
      <c r="Q34" s="45"/>
      <c r="R34" s="136"/>
      <c r="S34" s="139"/>
      <c r="T34" s="136"/>
      <c r="U34" s="139"/>
      <c r="V34" s="45"/>
      <c r="W34" s="136"/>
      <c r="X34" s="134"/>
      <c r="Y34" s="166"/>
      <c r="Z34" s="126"/>
      <c r="AA34" s="130"/>
      <c r="AB34" s="126"/>
      <c r="AC34" s="130"/>
      <c r="AD34" s="126"/>
      <c r="AE34" s="130"/>
      <c r="AF34" s="126"/>
      <c r="AG34" s="43"/>
      <c r="AH34" s="44"/>
      <c r="AI34" s="45"/>
      <c r="AJ34" s="46">
        <v>1</v>
      </c>
      <c r="AK34" s="41"/>
      <c r="AL34" s="47"/>
      <c r="AM34" s="48"/>
      <c r="AN34" s="111"/>
      <c r="AO34" s="42"/>
      <c r="AP34" s="42"/>
      <c r="AQ34" s="115"/>
      <c r="AR34" s="75"/>
      <c r="AS34" s="40">
        <f t="shared" si="0"/>
        <v>1</v>
      </c>
      <c r="AT34" s="31" t="s">
        <v>1751</v>
      </c>
      <c r="AW34" s="42">
        <f t="shared" si="1"/>
        <v>-100</v>
      </c>
      <c r="AX34" s="42">
        <f t="shared" si="2"/>
        <v>3</v>
      </c>
      <c r="AY34" s="42">
        <f t="shared" si="3"/>
        <v>1</v>
      </c>
      <c r="AZ34" s="42">
        <f t="shared" si="4"/>
        <v>-1</v>
      </c>
      <c r="BA34" s="42">
        <f>COUNTA(#REF!)</f>
        <v>1</v>
      </c>
      <c r="BB34" s="42">
        <f t="shared" si="5"/>
        <v>0</v>
      </c>
      <c r="BC34" s="42"/>
      <c r="BD34" s="42"/>
      <c r="BE34" s="42">
        <v>2</v>
      </c>
    </row>
    <row r="35" spans="1:62" hidden="1" x14ac:dyDescent="0.35">
      <c r="A35" s="199" t="s">
        <v>2639</v>
      </c>
      <c r="B35" s="199" t="s">
        <v>2649</v>
      </c>
      <c r="C35" s="200" t="s">
        <v>20</v>
      </c>
      <c r="D35" s="200" t="s">
        <v>8</v>
      </c>
      <c r="E35" s="200">
        <v>200</v>
      </c>
      <c r="F35" s="200" t="s">
        <v>25</v>
      </c>
      <c r="G35" s="85"/>
      <c r="H35" s="86">
        <v>1</v>
      </c>
      <c r="I35" s="87">
        <v>1</v>
      </c>
      <c r="J35" s="88" t="s">
        <v>12</v>
      </c>
      <c r="K35" s="89"/>
      <c r="L35" s="90"/>
      <c r="M35" s="165"/>
      <c r="N35" s="134"/>
      <c r="O35" s="45"/>
      <c r="P35" s="130"/>
      <c r="Q35" s="45"/>
      <c r="R35" s="136"/>
      <c r="S35" s="139"/>
      <c r="T35" s="136"/>
      <c r="U35" s="139" t="s">
        <v>12</v>
      </c>
      <c r="V35" s="45"/>
      <c r="W35" s="136"/>
      <c r="X35" s="134"/>
      <c r="Y35" s="166"/>
      <c r="Z35" s="126"/>
      <c r="AA35" s="130"/>
      <c r="AB35" s="126"/>
      <c r="AC35" s="130"/>
      <c r="AD35" s="126"/>
      <c r="AE35" s="130"/>
      <c r="AF35" s="126"/>
      <c r="AG35" s="43">
        <v>1</v>
      </c>
      <c r="AH35" s="44"/>
      <c r="AI35" s="45"/>
      <c r="AJ35" s="46"/>
      <c r="AK35" s="41"/>
      <c r="AL35" s="47"/>
      <c r="AM35" s="48"/>
      <c r="AN35" s="111"/>
      <c r="AO35" s="42"/>
      <c r="AP35" s="42"/>
      <c r="AQ35" s="115"/>
      <c r="AR35" s="75"/>
      <c r="AS35" s="40">
        <f t="shared" si="0"/>
        <v>1</v>
      </c>
      <c r="AT35" s="31" t="s">
        <v>1753</v>
      </c>
      <c r="AW35" s="42">
        <f t="shared" si="1"/>
        <v>0</v>
      </c>
      <c r="AX35" s="42">
        <f t="shared" si="2"/>
        <v>2</v>
      </c>
      <c r="AY35" s="42">
        <f t="shared" si="3"/>
        <v>2</v>
      </c>
      <c r="AZ35" s="42">
        <f t="shared" si="4"/>
        <v>-1</v>
      </c>
      <c r="BA35" s="42">
        <f>COUNTA(#REF!)</f>
        <v>1</v>
      </c>
      <c r="BB35" s="42">
        <f t="shared" si="5"/>
        <v>0</v>
      </c>
      <c r="BC35" s="42"/>
      <c r="BD35" s="42">
        <v>-1</v>
      </c>
      <c r="BE35" s="42">
        <v>1</v>
      </c>
    </row>
    <row r="36" spans="1:62" ht="26" hidden="1" x14ac:dyDescent="0.35">
      <c r="A36" s="199" t="s">
        <v>2639</v>
      </c>
      <c r="B36" s="199" t="s">
        <v>2649</v>
      </c>
      <c r="C36" s="200" t="s">
        <v>73</v>
      </c>
      <c r="D36" s="200" t="s">
        <v>8</v>
      </c>
      <c r="E36" s="200">
        <v>300</v>
      </c>
      <c r="F36" s="200" t="s">
        <v>74</v>
      </c>
      <c r="G36" s="85"/>
      <c r="H36" s="86">
        <v>1</v>
      </c>
      <c r="I36" s="87">
        <v>2</v>
      </c>
      <c r="J36" s="88"/>
      <c r="K36" s="89"/>
      <c r="L36" s="90"/>
      <c r="M36" s="165" t="s">
        <v>12</v>
      </c>
      <c r="N36" s="134"/>
      <c r="O36" s="45"/>
      <c r="P36" s="130" t="s">
        <v>12</v>
      </c>
      <c r="Q36" s="45"/>
      <c r="R36" s="136"/>
      <c r="S36" s="139"/>
      <c r="T36" s="136"/>
      <c r="U36" s="139"/>
      <c r="V36" s="45"/>
      <c r="W36" s="136"/>
      <c r="X36" s="134"/>
      <c r="Y36" s="166"/>
      <c r="Z36" s="126"/>
      <c r="AA36" s="130"/>
      <c r="AB36" s="126"/>
      <c r="AC36" s="130"/>
      <c r="AD36" s="126"/>
      <c r="AE36" s="130"/>
      <c r="AF36" s="126"/>
      <c r="AG36" s="43"/>
      <c r="AH36" s="44"/>
      <c r="AI36" s="45"/>
      <c r="AJ36" s="46"/>
      <c r="AK36" s="41">
        <v>1</v>
      </c>
      <c r="AL36" s="47"/>
      <c r="AM36" s="48"/>
      <c r="AN36" s="111"/>
      <c r="AO36" s="42"/>
      <c r="AP36" s="42"/>
      <c r="AQ36" s="115"/>
      <c r="AR36" s="75"/>
      <c r="AS36" s="40">
        <f t="shared" si="0"/>
        <v>1</v>
      </c>
      <c r="AT36" s="31" t="s">
        <v>1744</v>
      </c>
      <c r="AW36" s="42">
        <f t="shared" si="1"/>
        <v>0</v>
      </c>
      <c r="AX36" s="42">
        <f t="shared" si="2"/>
        <v>3</v>
      </c>
      <c r="AY36" s="42">
        <f t="shared" si="3"/>
        <v>3</v>
      </c>
      <c r="AZ36" s="42">
        <f t="shared" si="4"/>
        <v>0</v>
      </c>
      <c r="BA36" s="42">
        <f>COUNTA(#REF!)</f>
        <v>1</v>
      </c>
      <c r="BB36" s="42">
        <f t="shared" si="5"/>
        <v>0</v>
      </c>
      <c r="BC36" s="42"/>
      <c r="BD36" s="42"/>
      <c r="BE36" s="42">
        <v>-1</v>
      </c>
    </row>
    <row r="37" spans="1:62" hidden="1" x14ac:dyDescent="0.35">
      <c r="A37" s="199" t="s">
        <v>2639</v>
      </c>
      <c r="B37" s="199" t="s">
        <v>2649</v>
      </c>
      <c r="C37" s="200" t="s">
        <v>121</v>
      </c>
      <c r="D37" s="200" t="s">
        <v>8</v>
      </c>
      <c r="E37" s="200">
        <v>300</v>
      </c>
      <c r="F37" s="200" t="s">
        <v>1883</v>
      </c>
      <c r="G37" s="85">
        <v>2</v>
      </c>
      <c r="H37" s="86"/>
      <c r="I37" s="87"/>
      <c r="J37" s="88" t="s">
        <v>12</v>
      </c>
      <c r="K37" s="89"/>
      <c r="L37" s="90" t="s">
        <v>12</v>
      </c>
      <c r="M37" s="165"/>
      <c r="N37" s="134"/>
      <c r="O37" s="45"/>
      <c r="P37" s="130"/>
      <c r="Q37" s="45"/>
      <c r="R37" s="136"/>
      <c r="S37" s="139"/>
      <c r="T37" s="136"/>
      <c r="U37" s="139"/>
      <c r="V37" s="45" t="s">
        <v>12</v>
      </c>
      <c r="W37" s="136"/>
      <c r="X37" s="134"/>
      <c r="Y37" s="166"/>
      <c r="Z37" s="126"/>
      <c r="AA37" s="130"/>
      <c r="AB37" s="126"/>
      <c r="AC37" s="130"/>
      <c r="AD37" s="126"/>
      <c r="AE37" s="130"/>
      <c r="AF37" s="126"/>
      <c r="AG37" s="43"/>
      <c r="AH37" s="44"/>
      <c r="AI37" s="45">
        <v>1</v>
      </c>
      <c r="AJ37" s="46"/>
      <c r="AK37" s="41"/>
      <c r="AL37" s="47"/>
      <c r="AM37" s="48"/>
      <c r="AN37" s="111"/>
      <c r="AO37" s="42"/>
      <c r="AP37" s="42"/>
      <c r="AQ37" s="115"/>
      <c r="AR37" s="75"/>
      <c r="AS37" s="40">
        <f t="shared" si="0"/>
        <v>1</v>
      </c>
      <c r="AT37" s="31" t="s">
        <v>1758</v>
      </c>
      <c r="AW37" s="42">
        <f t="shared" si="1"/>
        <v>100</v>
      </c>
      <c r="AX37" s="42">
        <f t="shared" si="2"/>
        <v>2</v>
      </c>
      <c r="AY37" s="42">
        <f t="shared" si="3"/>
        <v>2</v>
      </c>
      <c r="AZ37" s="42">
        <f t="shared" si="4"/>
        <v>-2</v>
      </c>
      <c r="BA37" s="42">
        <f>COUNTA(#REF!)</f>
        <v>1</v>
      </c>
      <c r="BB37" s="42">
        <f t="shared" si="5"/>
        <v>0</v>
      </c>
      <c r="BC37" s="42">
        <v>1</v>
      </c>
      <c r="BD37" s="42">
        <v>-1</v>
      </c>
      <c r="BE37" s="42">
        <v>1</v>
      </c>
    </row>
    <row r="38" spans="1:62" ht="26" hidden="1" x14ac:dyDescent="0.35">
      <c r="A38" s="199" t="s">
        <v>2639</v>
      </c>
      <c r="B38" s="199" t="s">
        <v>2649</v>
      </c>
      <c r="C38" s="200" t="s">
        <v>88</v>
      </c>
      <c r="D38" s="200" t="s">
        <v>736</v>
      </c>
      <c r="E38" s="200">
        <v>2400</v>
      </c>
      <c r="F38" s="200" t="s">
        <v>90</v>
      </c>
      <c r="G38" s="85"/>
      <c r="H38" s="86"/>
      <c r="I38" s="87"/>
      <c r="J38" s="88"/>
      <c r="K38" s="89"/>
      <c r="L38" s="90"/>
      <c r="M38" s="165"/>
      <c r="N38" s="134"/>
      <c r="O38" s="45"/>
      <c r="P38" s="130"/>
      <c r="Q38" s="45"/>
      <c r="R38" s="136"/>
      <c r="S38" s="139"/>
      <c r="T38" s="136"/>
      <c r="U38" s="139"/>
      <c r="V38" s="45"/>
      <c r="W38" s="136"/>
      <c r="X38" s="134"/>
      <c r="Y38" s="166"/>
      <c r="Z38" s="126"/>
      <c r="AA38" s="130"/>
      <c r="AB38" s="126"/>
      <c r="AC38" s="130"/>
      <c r="AD38" s="126"/>
      <c r="AE38" s="130"/>
      <c r="AF38" s="126"/>
      <c r="AG38" s="43"/>
      <c r="AH38" s="44"/>
      <c r="AI38" s="45"/>
      <c r="AJ38" s="46"/>
      <c r="AK38" s="41">
        <v>1</v>
      </c>
      <c r="AL38" s="47"/>
      <c r="AM38" s="48"/>
      <c r="AN38" s="111"/>
      <c r="AO38" s="42"/>
      <c r="AP38" s="42"/>
      <c r="AQ38" s="115"/>
      <c r="AR38" s="75"/>
      <c r="AS38" s="40">
        <f t="shared" si="0"/>
        <v>1</v>
      </c>
      <c r="AW38" s="42"/>
      <c r="AX38" s="42"/>
      <c r="AY38" s="42"/>
      <c r="AZ38" s="42"/>
      <c r="BA38" s="42"/>
      <c r="BB38" s="42"/>
      <c r="BC38" s="42"/>
      <c r="BD38" s="42"/>
      <c r="BE38" s="42"/>
      <c r="BH38" s="31" t="s">
        <v>2252</v>
      </c>
      <c r="BI38" s="31" t="s">
        <v>2248</v>
      </c>
    </row>
    <row r="39" spans="1:62" ht="26" hidden="1" x14ac:dyDescent="0.35">
      <c r="A39" s="199" t="s">
        <v>2639</v>
      </c>
      <c r="B39" s="199" t="s">
        <v>2649</v>
      </c>
      <c r="C39" s="200" t="s">
        <v>91</v>
      </c>
      <c r="D39" s="200" t="s">
        <v>736</v>
      </c>
      <c r="E39" s="200">
        <v>800</v>
      </c>
      <c r="F39" s="200" t="s">
        <v>565</v>
      </c>
      <c r="G39" s="85"/>
      <c r="H39" s="86"/>
      <c r="I39" s="87"/>
      <c r="J39" s="88"/>
      <c r="K39" s="89"/>
      <c r="L39" s="90"/>
      <c r="M39" s="165"/>
      <c r="N39" s="134"/>
      <c r="O39" s="45"/>
      <c r="P39" s="130"/>
      <c r="Q39" s="45"/>
      <c r="R39" s="136"/>
      <c r="S39" s="139"/>
      <c r="T39" s="136"/>
      <c r="U39" s="139"/>
      <c r="V39" s="45"/>
      <c r="W39" s="136"/>
      <c r="X39" s="134"/>
      <c r="Y39" s="166"/>
      <c r="Z39" s="126"/>
      <c r="AA39" s="130"/>
      <c r="AB39" s="126"/>
      <c r="AC39" s="130"/>
      <c r="AD39" s="126"/>
      <c r="AE39" s="130"/>
      <c r="AF39" s="126"/>
      <c r="AG39" s="43"/>
      <c r="AH39" s="44"/>
      <c r="AI39" s="45"/>
      <c r="AJ39" s="46"/>
      <c r="AK39" s="41">
        <v>2</v>
      </c>
      <c r="AL39" s="47"/>
      <c r="AM39" s="48"/>
      <c r="AN39" s="111"/>
      <c r="AO39" s="42"/>
      <c r="AP39" s="42"/>
      <c r="AQ39" s="115"/>
      <c r="AR39" s="75"/>
      <c r="AS39" s="40">
        <f t="shared" si="0"/>
        <v>2</v>
      </c>
      <c r="AW39" s="42"/>
      <c r="AX39" s="42"/>
      <c r="AY39" s="42"/>
      <c r="AZ39" s="42"/>
      <c r="BA39" s="42"/>
      <c r="BB39" s="42"/>
      <c r="BC39" s="42"/>
      <c r="BD39" s="42"/>
      <c r="BE39" s="42"/>
      <c r="BH39" s="31" t="s">
        <v>2252</v>
      </c>
      <c r="BI39" s="31" t="s">
        <v>2248</v>
      </c>
    </row>
    <row r="40" spans="1:62" ht="26" hidden="1" x14ac:dyDescent="0.35">
      <c r="A40" s="199" t="s">
        <v>2639</v>
      </c>
      <c r="B40" s="199" t="s">
        <v>2649</v>
      </c>
      <c r="C40" s="200" t="s">
        <v>87</v>
      </c>
      <c r="D40" s="200" t="s">
        <v>736</v>
      </c>
      <c r="E40" s="200">
        <v>1200</v>
      </c>
      <c r="F40" s="200" t="s">
        <v>89</v>
      </c>
      <c r="G40" s="85"/>
      <c r="H40" s="86"/>
      <c r="I40" s="87"/>
      <c r="J40" s="88"/>
      <c r="K40" s="89"/>
      <c r="L40" s="90"/>
      <c r="M40" s="165"/>
      <c r="N40" s="134"/>
      <c r="O40" s="45"/>
      <c r="P40" s="130"/>
      <c r="Q40" s="45"/>
      <c r="R40" s="136"/>
      <c r="S40" s="139"/>
      <c r="T40" s="136"/>
      <c r="U40" s="139"/>
      <c r="V40" s="45"/>
      <c r="W40" s="136"/>
      <c r="X40" s="134"/>
      <c r="Y40" s="166"/>
      <c r="Z40" s="126"/>
      <c r="AA40" s="130"/>
      <c r="AB40" s="126"/>
      <c r="AC40" s="130"/>
      <c r="AD40" s="126"/>
      <c r="AE40" s="130"/>
      <c r="AF40" s="126"/>
      <c r="AG40" s="43"/>
      <c r="AH40" s="44"/>
      <c r="AI40" s="45"/>
      <c r="AJ40" s="46"/>
      <c r="AK40" s="41">
        <v>2</v>
      </c>
      <c r="AL40" s="47"/>
      <c r="AM40" s="48"/>
      <c r="AN40" s="111"/>
      <c r="AO40" s="42"/>
      <c r="AP40" s="42"/>
      <c r="AQ40" s="115"/>
      <c r="AR40" s="75"/>
      <c r="AS40" s="40">
        <f t="shared" si="0"/>
        <v>2</v>
      </c>
      <c r="AW40" s="42"/>
      <c r="AX40" s="42"/>
      <c r="AY40" s="42"/>
      <c r="AZ40" s="42"/>
      <c r="BA40" s="42"/>
      <c r="BB40" s="42"/>
      <c r="BC40" s="42"/>
      <c r="BD40" s="42"/>
      <c r="BE40" s="42"/>
      <c r="BH40" s="31" t="s">
        <v>2252</v>
      </c>
      <c r="BI40" s="31" t="s">
        <v>2248</v>
      </c>
    </row>
    <row r="41" spans="1:62" ht="26" hidden="1" x14ac:dyDescent="0.35">
      <c r="A41" s="199" t="s">
        <v>2639</v>
      </c>
      <c r="B41" s="199" t="s">
        <v>2649</v>
      </c>
      <c r="C41" s="200" t="s">
        <v>2371</v>
      </c>
      <c r="D41" s="200" t="s">
        <v>736</v>
      </c>
      <c r="E41" s="200"/>
      <c r="F41" s="200" t="s">
        <v>134</v>
      </c>
      <c r="G41" s="85"/>
      <c r="H41" s="86"/>
      <c r="I41" s="87"/>
      <c r="J41" s="88"/>
      <c r="K41" s="89"/>
      <c r="L41" s="90"/>
      <c r="M41" s="165"/>
      <c r="N41" s="134"/>
      <c r="O41" s="45"/>
      <c r="P41" s="130"/>
      <c r="Q41" s="45"/>
      <c r="R41" s="136"/>
      <c r="S41" s="139"/>
      <c r="T41" s="136"/>
      <c r="U41" s="139"/>
      <c r="V41" s="45"/>
      <c r="W41" s="136"/>
      <c r="X41" s="134"/>
      <c r="Y41" s="166"/>
      <c r="Z41" s="126"/>
      <c r="AA41" s="130"/>
      <c r="AB41" s="126"/>
      <c r="AC41" s="130"/>
      <c r="AD41" s="126"/>
      <c r="AE41" s="130"/>
      <c r="AF41" s="126"/>
      <c r="AG41" s="43"/>
      <c r="AH41" s="44"/>
      <c r="AI41" s="45"/>
      <c r="AJ41" s="46"/>
      <c r="AK41" s="41"/>
      <c r="AL41" s="47"/>
      <c r="AM41" s="48"/>
      <c r="AN41" s="111"/>
      <c r="AO41" s="42"/>
      <c r="AP41" s="42"/>
      <c r="AQ41" s="115"/>
      <c r="AR41" s="75">
        <v>4</v>
      </c>
      <c r="AS41" s="40">
        <f t="shared" si="0"/>
        <v>4</v>
      </c>
      <c r="AW41" s="42"/>
      <c r="AX41" s="42"/>
      <c r="AY41" s="42"/>
      <c r="AZ41" s="42"/>
      <c r="BA41" s="42"/>
      <c r="BB41" s="42"/>
      <c r="BC41" s="42"/>
      <c r="BD41" s="42"/>
      <c r="BE41" s="42"/>
    </row>
    <row r="42" spans="1:62" ht="26" hidden="1" x14ac:dyDescent="0.35">
      <c r="A42" s="199" t="s">
        <v>2639</v>
      </c>
      <c r="B42" s="199" t="s">
        <v>2649</v>
      </c>
      <c r="C42" s="200" t="s">
        <v>26</v>
      </c>
      <c r="D42" s="200" t="s">
        <v>131</v>
      </c>
      <c r="E42" s="200">
        <v>1000</v>
      </c>
      <c r="F42" s="200"/>
      <c r="G42" s="85"/>
      <c r="H42" s="86"/>
      <c r="I42" s="87">
        <v>1</v>
      </c>
      <c r="J42" s="88"/>
      <c r="K42" s="89"/>
      <c r="L42" s="90"/>
      <c r="M42" s="165"/>
      <c r="N42" s="134"/>
      <c r="O42" s="45"/>
      <c r="P42" s="130"/>
      <c r="Q42" s="45"/>
      <c r="R42" s="136"/>
      <c r="S42" s="139"/>
      <c r="T42" s="136"/>
      <c r="U42" s="139"/>
      <c r="V42" s="45"/>
      <c r="W42" s="136"/>
      <c r="X42" s="134"/>
      <c r="Y42" s="166"/>
      <c r="Z42" s="126" t="s">
        <v>12</v>
      </c>
      <c r="AA42" s="130"/>
      <c r="AB42" s="126"/>
      <c r="AC42" s="130"/>
      <c r="AD42" s="126"/>
      <c r="AE42" s="130"/>
      <c r="AF42" s="126"/>
      <c r="AG42" s="43">
        <v>1</v>
      </c>
      <c r="AH42" s="44">
        <v>1</v>
      </c>
      <c r="AI42" s="45"/>
      <c r="AJ42" s="46"/>
      <c r="AK42" s="41">
        <v>1</v>
      </c>
      <c r="AL42" s="47"/>
      <c r="AM42" s="48"/>
      <c r="AN42" s="111"/>
      <c r="AO42" s="42"/>
      <c r="AP42" s="42"/>
      <c r="AQ42" s="115"/>
      <c r="AR42" s="75"/>
      <c r="AS42" s="40">
        <f t="shared" si="0"/>
        <v>3</v>
      </c>
      <c r="AW42" s="42"/>
      <c r="AX42" s="42"/>
      <c r="AY42" s="42"/>
      <c r="AZ42" s="42"/>
      <c r="BA42" s="42"/>
      <c r="BB42" s="42"/>
      <c r="BC42" s="42"/>
      <c r="BD42" s="42"/>
      <c r="BE42" s="42"/>
      <c r="BH42" s="31" t="s">
        <v>2269</v>
      </c>
      <c r="BI42" s="31" t="s">
        <v>2248</v>
      </c>
    </row>
    <row r="43" spans="1:62" hidden="1" x14ac:dyDescent="0.35">
      <c r="A43" s="199" t="s">
        <v>2639</v>
      </c>
      <c r="B43" s="199" t="s">
        <v>2649</v>
      </c>
      <c r="C43" s="200" t="s">
        <v>117</v>
      </c>
      <c r="D43" s="200" t="s">
        <v>131</v>
      </c>
      <c r="E43" s="200">
        <v>1600</v>
      </c>
      <c r="F43" s="200"/>
      <c r="G43" s="85">
        <v>2</v>
      </c>
      <c r="H43" s="86"/>
      <c r="I43" s="87">
        <v>1</v>
      </c>
      <c r="J43" s="88"/>
      <c r="K43" s="89"/>
      <c r="L43" s="90"/>
      <c r="M43" s="165"/>
      <c r="N43" s="134"/>
      <c r="O43" s="45"/>
      <c r="P43" s="130"/>
      <c r="Q43" s="45"/>
      <c r="R43" s="136"/>
      <c r="S43" s="139"/>
      <c r="T43" s="136"/>
      <c r="U43" s="139"/>
      <c r="V43" s="45"/>
      <c r="W43" s="136"/>
      <c r="X43" s="134"/>
      <c r="Y43" s="166"/>
      <c r="Z43" s="126"/>
      <c r="AA43" s="130"/>
      <c r="AB43" s="126"/>
      <c r="AC43" s="130"/>
      <c r="AD43" s="126" t="s">
        <v>12</v>
      </c>
      <c r="AE43" s="130" t="s">
        <v>12</v>
      </c>
      <c r="AF43" s="126"/>
      <c r="AG43" s="43"/>
      <c r="AH43" s="44"/>
      <c r="AI43" s="45">
        <v>1</v>
      </c>
      <c r="AJ43" s="46"/>
      <c r="AK43" s="41"/>
      <c r="AL43" s="47"/>
      <c r="AM43" s="48"/>
      <c r="AN43" s="111"/>
      <c r="AO43" s="42"/>
      <c r="AP43" s="42"/>
      <c r="AQ43" s="115"/>
      <c r="AR43" s="75"/>
      <c r="AS43" s="40">
        <f t="shared" si="0"/>
        <v>1</v>
      </c>
      <c r="AW43" s="42"/>
      <c r="AX43" s="42"/>
      <c r="AY43" s="42"/>
      <c r="AZ43" s="40"/>
      <c r="BA43" s="40"/>
      <c r="BB43" s="40"/>
      <c r="BC43" s="42"/>
      <c r="BD43" s="42"/>
      <c r="BE43" s="42"/>
      <c r="BH43" s="31" t="s">
        <v>2258</v>
      </c>
      <c r="BI43" s="31" t="s">
        <v>2248</v>
      </c>
    </row>
    <row r="44" spans="1:62" hidden="1" x14ac:dyDescent="0.35">
      <c r="A44" s="199" t="s">
        <v>2639</v>
      </c>
      <c r="B44" s="199" t="s">
        <v>2649</v>
      </c>
      <c r="C44" s="200" t="s">
        <v>35</v>
      </c>
      <c r="D44" s="200" t="s">
        <v>131</v>
      </c>
      <c r="E44" s="200">
        <v>1000</v>
      </c>
      <c r="F44" s="200" t="s">
        <v>46</v>
      </c>
      <c r="G44" s="85"/>
      <c r="H44" s="86"/>
      <c r="I44" s="87"/>
      <c r="J44" s="88"/>
      <c r="K44" s="89"/>
      <c r="L44" s="90"/>
      <c r="M44" s="165"/>
      <c r="N44" s="134"/>
      <c r="O44" s="45"/>
      <c r="P44" s="130"/>
      <c r="Q44" s="45"/>
      <c r="R44" s="136"/>
      <c r="S44" s="139"/>
      <c r="T44" s="136"/>
      <c r="U44" s="139"/>
      <c r="V44" s="45"/>
      <c r="W44" s="136"/>
      <c r="X44" s="134"/>
      <c r="Y44" s="166"/>
      <c r="Z44" s="126"/>
      <c r="AA44" s="130"/>
      <c r="AB44" s="126"/>
      <c r="AC44" s="130" t="s">
        <v>12</v>
      </c>
      <c r="AD44" s="126"/>
      <c r="AE44" s="130"/>
      <c r="AF44" s="126"/>
      <c r="AG44" s="43">
        <v>1</v>
      </c>
      <c r="AH44" s="44">
        <v>2</v>
      </c>
      <c r="AI44" s="45"/>
      <c r="AJ44" s="46"/>
      <c r="AK44" s="41"/>
      <c r="AL44" s="47"/>
      <c r="AM44" s="48"/>
      <c r="AN44" s="111"/>
      <c r="AO44" s="42"/>
      <c r="AP44" s="42"/>
      <c r="AQ44" s="115"/>
      <c r="AR44" s="75"/>
      <c r="AS44" s="40">
        <f t="shared" si="0"/>
        <v>3</v>
      </c>
      <c r="AW44" s="42"/>
      <c r="AX44" s="42"/>
      <c r="AY44" s="42"/>
      <c r="AZ44" s="40"/>
      <c r="BA44" s="40"/>
      <c r="BB44" s="40"/>
      <c r="BC44" s="42"/>
      <c r="BD44" s="42"/>
      <c r="BE44" s="42"/>
      <c r="BH44" s="31" t="s">
        <v>2267</v>
      </c>
      <c r="BI44" s="31" t="s">
        <v>2248</v>
      </c>
    </row>
    <row r="45" spans="1:62" hidden="1" x14ac:dyDescent="0.35">
      <c r="A45" s="199" t="s">
        <v>2639</v>
      </c>
      <c r="B45" s="199" t="s">
        <v>2649</v>
      </c>
      <c r="C45" s="200" t="s">
        <v>62</v>
      </c>
      <c r="D45" s="200" t="s">
        <v>131</v>
      </c>
      <c r="E45" s="200">
        <v>1000</v>
      </c>
      <c r="F45" s="200" t="s">
        <v>64</v>
      </c>
      <c r="G45" s="85"/>
      <c r="H45" s="86"/>
      <c r="I45" s="87">
        <v>1</v>
      </c>
      <c r="J45" s="88"/>
      <c r="K45" s="89"/>
      <c r="L45" s="90"/>
      <c r="M45" s="165"/>
      <c r="N45" s="134"/>
      <c r="O45" s="45"/>
      <c r="P45" s="130"/>
      <c r="Q45" s="45"/>
      <c r="R45" s="136"/>
      <c r="S45" s="139"/>
      <c r="T45" s="136"/>
      <c r="U45" s="139"/>
      <c r="V45" s="45"/>
      <c r="W45" s="136"/>
      <c r="X45" s="134"/>
      <c r="Y45" s="166"/>
      <c r="Z45" s="126"/>
      <c r="AA45" s="130" t="s">
        <v>12</v>
      </c>
      <c r="AB45" s="126"/>
      <c r="AC45" s="130"/>
      <c r="AD45" s="126"/>
      <c r="AE45" s="130"/>
      <c r="AF45" s="126"/>
      <c r="AG45" s="43"/>
      <c r="AH45" s="44">
        <v>1</v>
      </c>
      <c r="AI45" s="45"/>
      <c r="AJ45" s="46"/>
      <c r="AK45" s="41"/>
      <c r="AL45" s="47"/>
      <c r="AM45" s="48"/>
      <c r="AN45" s="111"/>
      <c r="AO45" s="42"/>
      <c r="AP45" s="42"/>
      <c r="AQ45" s="115"/>
      <c r="AR45" s="75"/>
      <c r="AS45" s="40">
        <f t="shared" si="0"/>
        <v>1</v>
      </c>
      <c r="AW45" s="42"/>
      <c r="AX45" s="42"/>
      <c r="AY45" s="42"/>
      <c r="AZ45" s="40"/>
      <c r="BA45" s="40"/>
      <c r="BB45" s="40"/>
      <c r="BC45" s="42"/>
      <c r="BD45" s="42"/>
      <c r="BE45" s="42"/>
      <c r="BH45" s="31" t="s">
        <v>2253</v>
      </c>
      <c r="BI45" s="31" t="s">
        <v>2248</v>
      </c>
    </row>
    <row r="46" spans="1:62" ht="26" hidden="1" x14ac:dyDescent="0.35">
      <c r="A46" s="199" t="s">
        <v>2639</v>
      </c>
      <c r="B46" s="199" t="s">
        <v>2649</v>
      </c>
      <c r="C46" s="200" t="s">
        <v>76</v>
      </c>
      <c r="D46" s="200" t="s">
        <v>131</v>
      </c>
      <c r="E46" s="200">
        <v>1600</v>
      </c>
      <c r="F46" s="200" t="s">
        <v>78</v>
      </c>
      <c r="G46" s="85"/>
      <c r="H46" s="86"/>
      <c r="I46" s="87">
        <v>2</v>
      </c>
      <c r="J46" s="88"/>
      <c r="K46" s="89"/>
      <c r="L46" s="90"/>
      <c r="M46" s="165"/>
      <c r="N46" s="134"/>
      <c r="O46" s="45"/>
      <c r="P46" s="130"/>
      <c r="Q46" s="45"/>
      <c r="R46" s="136"/>
      <c r="S46" s="139"/>
      <c r="T46" s="136"/>
      <c r="U46" s="139"/>
      <c r="V46" s="45"/>
      <c r="W46" s="136"/>
      <c r="X46" s="134"/>
      <c r="Y46" s="166"/>
      <c r="Z46" s="126" t="s">
        <v>12</v>
      </c>
      <c r="AA46" s="130"/>
      <c r="AB46" s="126"/>
      <c r="AC46" s="130"/>
      <c r="AD46" s="126"/>
      <c r="AE46" s="130"/>
      <c r="AF46" s="126"/>
      <c r="AG46" s="43"/>
      <c r="AH46" s="44"/>
      <c r="AI46" s="45"/>
      <c r="AJ46" s="46"/>
      <c r="AK46" s="41">
        <v>1</v>
      </c>
      <c r="AL46" s="47"/>
      <c r="AM46" s="48"/>
      <c r="AN46" s="111"/>
      <c r="AO46" s="42"/>
      <c r="AP46" s="42"/>
      <c r="AQ46" s="115"/>
      <c r="AR46" s="75"/>
      <c r="AS46" s="40">
        <f t="shared" si="0"/>
        <v>1</v>
      </c>
      <c r="AW46" s="42"/>
      <c r="AX46" s="42"/>
      <c r="AY46" s="42"/>
      <c r="AZ46" s="40"/>
      <c r="BA46" s="40"/>
      <c r="BB46" s="40"/>
      <c r="BC46" s="42"/>
      <c r="BD46" s="42"/>
      <c r="BE46" s="42"/>
      <c r="BH46" s="31" t="s">
        <v>2253</v>
      </c>
      <c r="BI46" s="31" t="s">
        <v>2248</v>
      </c>
      <c r="BJ46" s="31" t="s">
        <v>12</v>
      </c>
    </row>
    <row r="47" spans="1:62" ht="26" hidden="1" x14ac:dyDescent="0.35">
      <c r="A47" s="199" t="s">
        <v>2639</v>
      </c>
      <c r="B47" s="199" t="s">
        <v>2649</v>
      </c>
      <c r="C47" s="200" t="s">
        <v>1364</v>
      </c>
      <c r="D47" s="200" t="s">
        <v>131</v>
      </c>
      <c r="E47" s="200">
        <v>1600</v>
      </c>
      <c r="F47" s="200"/>
      <c r="G47" s="85">
        <v>2</v>
      </c>
      <c r="H47" s="86"/>
      <c r="I47" s="87"/>
      <c r="J47" s="88"/>
      <c r="K47" s="89"/>
      <c r="L47" s="90"/>
      <c r="M47" s="165"/>
      <c r="N47" s="134"/>
      <c r="O47" s="45"/>
      <c r="P47" s="130"/>
      <c r="Q47" s="45"/>
      <c r="R47" s="136"/>
      <c r="S47" s="139"/>
      <c r="T47" s="136"/>
      <c r="U47" s="139"/>
      <c r="V47" s="45"/>
      <c r="W47" s="136"/>
      <c r="X47" s="134"/>
      <c r="Y47" s="166"/>
      <c r="Z47" s="126"/>
      <c r="AA47" s="130"/>
      <c r="AB47" s="126"/>
      <c r="AC47" s="130" t="s">
        <v>12</v>
      </c>
      <c r="AD47" s="126" t="s">
        <v>12</v>
      </c>
      <c r="AE47" s="130"/>
      <c r="AF47" s="126"/>
      <c r="AG47" s="43"/>
      <c r="AH47" s="44"/>
      <c r="AI47" s="45">
        <v>1</v>
      </c>
      <c r="AJ47" s="46"/>
      <c r="AK47" s="41"/>
      <c r="AL47" s="47"/>
      <c r="AM47" s="48"/>
      <c r="AN47" s="111"/>
      <c r="AO47" s="42"/>
      <c r="AP47" s="42"/>
      <c r="AQ47" s="115"/>
      <c r="AR47" s="75"/>
      <c r="AS47" s="40">
        <f t="shared" si="0"/>
        <v>1</v>
      </c>
      <c r="AW47" s="42"/>
      <c r="AX47" s="42"/>
      <c r="AY47" s="42"/>
      <c r="AZ47" s="40"/>
      <c r="BA47" s="40"/>
      <c r="BB47" s="40"/>
      <c r="BC47" s="42"/>
      <c r="BD47" s="42"/>
      <c r="BE47" s="42"/>
      <c r="BH47" s="31" t="s">
        <v>2258</v>
      </c>
      <c r="BI47" s="31" t="s">
        <v>2248</v>
      </c>
    </row>
    <row r="48" spans="1:62" hidden="1" x14ac:dyDescent="0.35">
      <c r="A48" s="199" t="s">
        <v>2639</v>
      </c>
      <c r="B48" s="199" t="s">
        <v>2649</v>
      </c>
      <c r="C48" s="200" t="s">
        <v>116</v>
      </c>
      <c r="D48" s="200" t="s">
        <v>131</v>
      </c>
      <c r="E48" s="200">
        <v>1800</v>
      </c>
      <c r="F48" s="200" t="s">
        <v>1830</v>
      </c>
      <c r="G48" s="85">
        <v>3</v>
      </c>
      <c r="H48" s="86"/>
      <c r="I48" s="87"/>
      <c r="J48" s="88"/>
      <c r="K48" s="89"/>
      <c r="L48" s="90"/>
      <c r="M48" s="165"/>
      <c r="N48" s="134"/>
      <c r="O48" s="45"/>
      <c r="P48" s="130"/>
      <c r="Q48" s="45"/>
      <c r="R48" s="136"/>
      <c r="S48" s="139"/>
      <c r="T48" s="136"/>
      <c r="U48" s="139"/>
      <c r="V48" s="45"/>
      <c r="W48" s="136"/>
      <c r="X48" s="134"/>
      <c r="Y48" s="166"/>
      <c r="Z48" s="126"/>
      <c r="AA48" s="130"/>
      <c r="AB48" s="126"/>
      <c r="AC48" s="130"/>
      <c r="AD48" s="126" t="s">
        <v>12</v>
      </c>
      <c r="AE48" s="130"/>
      <c r="AF48" s="126" t="s">
        <v>12</v>
      </c>
      <c r="AG48" s="43"/>
      <c r="AH48" s="44"/>
      <c r="AI48" s="45">
        <v>1</v>
      </c>
      <c r="AJ48" s="46"/>
      <c r="AK48" s="41"/>
      <c r="AL48" s="47"/>
      <c r="AM48" s="48"/>
      <c r="AN48" s="111"/>
      <c r="AO48" s="42"/>
      <c r="AP48" s="42"/>
      <c r="AQ48" s="115"/>
      <c r="AR48" s="75"/>
      <c r="AS48" s="40">
        <f t="shared" si="0"/>
        <v>1</v>
      </c>
      <c r="AW48" s="42"/>
      <c r="AX48" s="42"/>
      <c r="AY48" s="42"/>
      <c r="AZ48" s="40"/>
      <c r="BA48" s="40"/>
      <c r="BB48" s="40"/>
      <c r="BC48" s="42"/>
      <c r="BD48" s="42"/>
      <c r="BE48" s="42"/>
      <c r="BH48" s="31" t="s">
        <v>2258</v>
      </c>
      <c r="BI48" s="31" t="s">
        <v>2248</v>
      </c>
    </row>
    <row r="49" spans="1:61" hidden="1" x14ac:dyDescent="0.35">
      <c r="A49" s="199" t="s">
        <v>2639</v>
      </c>
      <c r="B49" s="199" t="s">
        <v>2649</v>
      </c>
      <c r="C49" s="200" t="s">
        <v>106</v>
      </c>
      <c r="D49" s="200" t="s">
        <v>131</v>
      </c>
      <c r="E49" s="200">
        <v>200</v>
      </c>
      <c r="F49" s="200"/>
      <c r="G49" s="85" t="s">
        <v>107</v>
      </c>
      <c r="H49" s="86"/>
      <c r="I49" s="87"/>
      <c r="J49" s="88"/>
      <c r="K49" s="89"/>
      <c r="L49" s="90"/>
      <c r="M49" s="165"/>
      <c r="N49" s="134"/>
      <c r="O49" s="45"/>
      <c r="P49" s="130"/>
      <c r="Q49" s="45"/>
      <c r="R49" s="136"/>
      <c r="S49" s="139"/>
      <c r="T49" s="136"/>
      <c r="U49" s="139"/>
      <c r="V49" s="45"/>
      <c r="W49" s="136"/>
      <c r="X49" s="134"/>
      <c r="Y49" s="166"/>
      <c r="Z49" s="126"/>
      <c r="AA49" s="130"/>
      <c r="AB49" s="126"/>
      <c r="AC49" s="130"/>
      <c r="AD49" s="126"/>
      <c r="AE49" s="130"/>
      <c r="AF49" s="126"/>
      <c r="AG49" s="43"/>
      <c r="AH49" s="44"/>
      <c r="AI49" s="45"/>
      <c r="AJ49" s="46">
        <v>1</v>
      </c>
      <c r="AK49" s="41"/>
      <c r="AL49" s="47"/>
      <c r="AM49" s="48"/>
      <c r="AN49" s="111"/>
      <c r="AO49" s="42"/>
      <c r="AP49" s="42"/>
      <c r="AQ49" s="115"/>
      <c r="AR49" s="75"/>
      <c r="AS49" s="40">
        <f t="shared" si="0"/>
        <v>1</v>
      </c>
      <c r="AW49" s="42"/>
      <c r="AX49" s="42"/>
      <c r="AY49" s="42"/>
      <c r="AZ49" s="42"/>
      <c r="BA49" s="42"/>
      <c r="BB49" s="42"/>
      <c r="BC49" s="42"/>
      <c r="BD49" s="42"/>
      <c r="BE49" s="42"/>
      <c r="BH49" s="31" t="s">
        <v>2256</v>
      </c>
      <c r="BI49" s="31" t="s">
        <v>2248</v>
      </c>
    </row>
    <row r="50" spans="1:61" hidden="1" x14ac:dyDescent="0.35">
      <c r="A50" s="199" t="s">
        <v>2639</v>
      </c>
      <c r="B50" s="199" t="s">
        <v>2649</v>
      </c>
      <c r="C50" s="200" t="s">
        <v>40</v>
      </c>
      <c r="D50" s="200" t="s">
        <v>131</v>
      </c>
      <c r="E50" s="200">
        <v>400</v>
      </c>
      <c r="F50" s="200"/>
      <c r="G50" s="85" t="s">
        <v>38</v>
      </c>
      <c r="H50" s="86"/>
      <c r="I50" s="87"/>
      <c r="J50" s="88"/>
      <c r="K50" s="89"/>
      <c r="L50" s="90"/>
      <c r="M50" s="165"/>
      <c r="N50" s="134"/>
      <c r="O50" s="45"/>
      <c r="P50" s="130"/>
      <c r="Q50" s="45"/>
      <c r="R50" s="136"/>
      <c r="S50" s="139"/>
      <c r="T50" s="136"/>
      <c r="U50" s="139"/>
      <c r="V50" s="45"/>
      <c r="W50" s="136"/>
      <c r="X50" s="134"/>
      <c r="Y50" s="166"/>
      <c r="Z50" s="126"/>
      <c r="AA50" s="130"/>
      <c r="AB50" s="126"/>
      <c r="AC50" s="130"/>
      <c r="AD50" s="126"/>
      <c r="AE50" s="130"/>
      <c r="AF50" s="126" t="s">
        <v>37</v>
      </c>
      <c r="AG50" s="43">
        <v>1</v>
      </c>
      <c r="AH50" s="44">
        <v>1</v>
      </c>
      <c r="AI50" s="45">
        <v>2</v>
      </c>
      <c r="AJ50" s="46"/>
      <c r="AK50" s="41"/>
      <c r="AL50" s="47"/>
      <c r="AM50" s="48"/>
      <c r="AN50" s="111"/>
      <c r="AO50" s="42"/>
      <c r="AP50" s="42"/>
      <c r="AQ50" s="115"/>
      <c r="AR50" s="75"/>
      <c r="AS50" s="40">
        <f t="shared" si="0"/>
        <v>4</v>
      </c>
      <c r="AW50" s="42"/>
      <c r="AX50" s="42"/>
      <c r="AY50" s="42"/>
      <c r="AZ50" s="42"/>
      <c r="BA50" s="42"/>
      <c r="BB50" s="42"/>
      <c r="BC50" s="42"/>
      <c r="BD50" s="42"/>
      <c r="BE50" s="42"/>
      <c r="BH50" s="31" t="s">
        <v>2275</v>
      </c>
      <c r="BI50" s="31" t="s">
        <v>2248</v>
      </c>
    </row>
    <row r="51" spans="1:61" hidden="1" x14ac:dyDescent="0.35">
      <c r="A51" s="199" t="s">
        <v>2639</v>
      </c>
      <c r="B51" s="199" t="s">
        <v>2649</v>
      </c>
      <c r="C51" s="200" t="s">
        <v>108</v>
      </c>
      <c r="D51" s="200" t="s">
        <v>131</v>
      </c>
      <c r="E51" s="200">
        <v>200</v>
      </c>
      <c r="F51" s="200"/>
      <c r="G51" s="85"/>
      <c r="H51" s="86"/>
      <c r="I51" s="87"/>
      <c r="J51" s="88"/>
      <c r="K51" s="89"/>
      <c r="L51" s="90"/>
      <c r="M51" s="165"/>
      <c r="N51" s="134"/>
      <c r="O51" s="45"/>
      <c r="P51" s="130"/>
      <c r="Q51" s="45"/>
      <c r="R51" s="136"/>
      <c r="S51" s="139"/>
      <c r="T51" s="136"/>
      <c r="U51" s="139"/>
      <c r="V51" s="45"/>
      <c r="W51" s="136"/>
      <c r="X51" s="134"/>
      <c r="Y51" s="166"/>
      <c r="Z51" s="126"/>
      <c r="AA51" s="130"/>
      <c r="AB51" s="126"/>
      <c r="AC51" s="130" t="s">
        <v>37</v>
      </c>
      <c r="AD51" s="126"/>
      <c r="AE51" s="130"/>
      <c r="AF51" s="126"/>
      <c r="AG51" s="43"/>
      <c r="AH51" s="44"/>
      <c r="AI51" s="45">
        <v>2</v>
      </c>
      <c r="AJ51" s="46">
        <v>2</v>
      </c>
      <c r="AK51" s="41"/>
      <c r="AL51" s="47"/>
      <c r="AM51" s="48"/>
      <c r="AN51" s="111"/>
      <c r="AO51" s="42"/>
      <c r="AP51" s="42"/>
      <c r="AQ51" s="115"/>
      <c r="AR51" s="75"/>
      <c r="AS51" s="40">
        <f t="shared" si="0"/>
        <v>4</v>
      </c>
      <c r="AW51" s="42"/>
      <c r="AX51" s="42"/>
      <c r="AY51" s="42"/>
      <c r="AZ51" s="42"/>
      <c r="BA51" s="42"/>
      <c r="BB51" s="42"/>
      <c r="BC51" s="42"/>
      <c r="BD51" s="42"/>
      <c r="BE51" s="42"/>
      <c r="BH51" s="31" t="s">
        <v>2259</v>
      </c>
      <c r="BI51" s="31" t="s">
        <v>2248</v>
      </c>
    </row>
    <row r="52" spans="1:61" ht="26" hidden="1" x14ac:dyDescent="0.35">
      <c r="A52" s="199" t="s">
        <v>2639</v>
      </c>
      <c r="B52" s="199" t="s">
        <v>2649</v>
      </c>
      <c r="C52" s="200" t="s">
        <v>115</v>
      </c>
      <c r="D52" s="200" t="s">
        <v>131</v>
      </c>
      <c r="E52" s="200">
        <v>1000</v>
      </c>
      <c r="F52" s="200"/>
      <c r="G52" s="85">
        <v>2</v>
      </c>
      <c r="H52" s="86"/>
      <c r="I52" s="87"/>
      <c r="J52" s="88"/>
      <c r="K52" s="89"/>
      <c r="L52" s="90"/>
      <c r="M52" s="165"/>
      <c r="N52" s="134"/>
      <c r="O52" s="45"/>
      <c r="P52" s="130"/>
      <c r="Q52" s="45"/>
      <c r="R52" s="136"/>
      <c r="S52" s="139"/>
      <c r="T52" s="136"/>
      <c r="U52" s="139"/>
      <c r="V52" s="45"/>
      <c r="W52" s="136"/>
      <c r="X52" s="134"/>
      <c r="Y52" s="166"/>
      <c r="Z52" s="126"/>
      <c r="AA52" s="130"/>
      <c r="AB52" s="126"/>
      <c r="AC52" s="130"/>
      <c r="AD52" s="126"/>
      <c r="AE52" s="130"/>
      <c r="AF52" s="126" t="s">
        <v>12</v>
      </c>
      <c r="AG52" s="43"/>
      <c r="AH52" s="44"/>
      <c r="AI52" s="45">
        <v>2</v>
      </c>
      <c r="AJ52" s="46"/>
      <c r="AK52" s="41"/>
      <c r="AL52" s="47"/>
      <c r="AM52" s="48"/>
      <c r="AN52" s="111"/>
      <c r="AO52" s="42"/>
      <c r="AP52" s="42"/>
      <c r="AQ52" s="115"/>
      <c r="AR52" s="75"/>
      <c r="AS52" s="40">
        <f t="shared" si="0"/>
        <v>2</v>
      </c>
      <c r="AW52" s="42"/>
      <c r="AX52" s="42"/>
      <c r="AY52" s="42"/>
      <c r="AZ52" s="42"/>
      <c r="BA52" s="42"/>
      <c r="BB52" s="42"/>
      <c r="BC52" s="42"/>
      <c r="BD52" s="42"/>
      <c r="BE52" s="42"/>
      <c r="BH52" s="31" t="s">
        <v>2258</v>
      </c>
      <c r="BI52" s="31" t="s">
        <v>2248</v>
      </c>
    </row>
    <row r="53" spans="1:61" hidden="1" x14ac:dyDescent="0.35">
      <c r="A53" s="199" t="s">
        <v>2639</v>
      </c>
      <c r="B53" s="199" t="s">
        <v>2649</v>
      </c>
      <c r="C53" s="200" t="s">
        <v>105</v>
      </c>
      <c r="D53" s="200" t="s">
        <v>131</v>
      </c>
      <c r="E53" s="200">
        <v>800</v>
      </c>
      <c r="F53" s="200"/>
      <c r="G53" s="85">
        <v>1</v>
      </c>
      <c r="H53" s="86"/>
      <c r="I53" s="87"/>
      <c r="J53" s="88"/>
      <c r="K53" s="89"/>
      <c r="L53" s="90"/>
      <c r="M53" s="165"/>
      <c r="N53" s="134"/>
      <c r="O53" s="45"/>
      <c r="P53" s="130"/>
      <c r="Q53" s="45"/>
      <c r="R53" s="136"/>
      <c r="S53" s="139"/>
      <c r="T53" s="136"/>
      <c r="U53" s="139"/>
      <c r="V53" s="45"/>
      <c r="W53" s="136"/>
      <c r="X53" s="134"/>
      <c r="Y53" s="166"/>
      <c r="Z53" s="126"/>
      <c r="AA53" s="130"/>
      <c r="AB53" s="126"/>
      <c r="AC53" s="130"/>
      <c r="AD53" s="126" t="s">
        <v>12</v>
      </c>
      <c r="AE53" s="130" t="s">
        <v>12</v>
      </c>
      <c r="AF53" s="126"/>
      <c r="AG53" s="43"/>
      <c r="AH53" s="44"/>
      <c r="AI53" s="45">
        <v>2</v>
      </c>
      <c r="AJ53" s="46">
        <v>1</v>
      </c>
      <c r="AK53" s="41"/>
      <c r="AL53" s="47"/>
      <c r="AM53" s="48"/>
      <c r="AN53" s="111"/>
      <c r="AO53" s="42"/>
      <c r="AP53" s="42"/>
      <c r="AQ53" s="115"/>
      <c r="AR53" s="75"/>
      <c r="AS53" s="40">
        <f t="shared" si="0"/>
        <v>3</v>
      </c>
      <c r="AW53" s="42"/>
      <c r="AX53" s="42"/>
      <c r="AY53" s="42"/>
      <c r="AZ53" s="42"/>
      <c r="BA53" s="42"/>
      <c r="BB53" s="42"/>
      <c r="BC53" s="42"/>
      <c r="BD53" s="42"/>
      <c r="BE53" s="42"/>
      <c r="BH53" s="31" t="s">
        <v>2259</v>
      </c>
      <c r="BI53" s="31" t="s">
        <v>2248</v>
      </c>
    </row>
    <row r="54" spans="1:61" ht="26" hidden="1" x14ac:dyDescent="0.35">
      <c r="A54" s="199" t="s">
        <v>2639</v>
      </c>
      <c r="B54" s="199" t="s">
        <v>2649</v>
      </c>
      <c r="C54" s="200" t="s">
        <v>36</v>
      </c>
      <c r="D54" s="200" t="s">
        <v>131</v>
      </c>
      <c r="E54" s="200">
        <v>400</v>
      </c>
      <c r="F54" s="200"/>
      <c r="G54" s="85"/>
      <c r="H54" s="86"/>
      <c r="I54" s="87" t="s">
        <v>38</v>
      </c>
      <c r="J54" s="88"/>
      <c r="K54" s="89"/>
      <c r="L54" s="90"/>
      <c r="M54" s="165"/>
      <c r="N54" s="134"/>
      <c r="O54" s="45"/>
      <c r="P54" s="130"/>
      <c r="Q54" s="45"/>
      <c r="R54" s="136"/>
      <c r="S54" s="139"/>
      <c r="T54" s="136"/>
      <c r="U54" s="139"/>
      <c r="V54" s="45"/>
      <c r="W54" s="136"/>
      <c r="X54" s="134"/>
      <c r="Y54" s="166"/>
      <c r="Z54" s="126" t="s">
        <v>37</v>
      </c>
      <c r="AA54" s="130"/>
      <c r="AB54" s="126"/>
      <c r="AC54" s="130"/>
      <c r="AD54" s="126"/>
      <c r="AE54" s="130"/>
      <c r="AF54" s="126"/>
      <c r="AG54" s="43">
        <v>1</v>
      </c>
      <c r="AH54" s="44">
        <v>1</v>
      </c>
      <c r="AI54" s="45"/>
      <c r="AJ54" s="46"/>
      <c r="AK54" s="41"/>
      <c r="AL54" s="47"/>
      <c r="AM54" s="48"/>
      <c r="AN54" s="111"/>
      <c r="AO54" s="42"/>
      <c r="AP54" s="42"/>
      <c r="AQ54" s="115"/>
      <c r="AR54" s="75"/>
      <c r="AS54" s="40">
        <f t="shared" si="0"/>
        <v>2</v>
      </c>
      <c r="AW54" s="42"/>
      <c r="AX54" s="42"/>
      <c r="AY54" s="42"/>
      <c r="AZ54" s="42"/>
      <c r="BA54" s="42"/>
      <c r="BB54" s="42"/>
      <c r="BC54" s="42"/>
      <c r="BD54" s="42"/>
      <c r="BE54" s="42"/>
      <c r="BH54" s="31" t="s">
        <v>2267</v>
      </c>
      <c r="BI54" s="31" t="s">
        <v>2248</v>
      </c>
    </row>
    <row r="55" spans="1:61" hidden="1" x14ac:dyDescent="0.35">
      <c r="A55" s="199" t="s">
        <v>2639</v>
      </c>
      <c r="B55" s="199" t="s">
        <v>2649</v>
      </c>
      <c r="C55" s="200" t="s">
        <v>1363</v>
      </c>
      <c r="D55" s="200" t="s">
        <v>131</v>
      </c>
      <c r="E55" s="200">
        <v>400</v>
      </c>
      <c r="F55" s="200"/>
      <c r="G55" s="85"/>
      <c r="H55" s="86" t="s">
        <v>38</v>
      </c>
      <c r="I55" s="87"/>
      <c r="J55" s="88"/>
      <c r="K55" s="89"/>
      <c r="L55" s="90"/>
      <c r="M55" s="165"/>
      <c r="N55" s="134"/>
      <c r="O55" s="45"/>
      <c r="P55" s="130"/>
      <c r="Q55" s="45"/>
      <c r="R55" s="136"/>
      <c r="S55" s="139"/>
      <c r="T55" s="136"/>
      <c r="U55" s="139"/>
      <c r="V55" s="45"/>
      <c r="W55" s="136"/>
      <c r="X55" s="134"/>
      <c r="Y55" s="166"/>
      <c r="Z55" s="126"/>
      <c r="AA55" s="130"/>
      <c r="AB55" s="126" t="s">
        <v>37</v>
      </c>
      <c r="AC55" s="130"/>
      <c r="AD55" s="126"/>
      <c r="AE55" s="130"/>
      <c r="AF55" s="126"/>
      <c r="AG55" s="43">
        <v>1</v>
      </c>
      <c r="AH55" s="44">
        <v>1</v>
      </c>
      <c r="AI55" s="45"/>
      <c r="AJ55" s="46"/>
      <c r="AK55" s="41"/>
      <c r="AL55" s="47"/>
      <c r="AM55" s="48"/>
      <c r="AN55" s="111"/>
      <c r="AO55" s="42"/>
      <c r="AP55" s="42"/>
      <c r="AQ55" s="115"/>
      <c r="AR55" s="75"/>
      <c r="AS55" s="40">
        <f t="shared" si="0"/>
        <v>2</v>
      </c>
      <c r="AW55" s="42"/>
      <c r="AX55" s="42"/>
      <c r="AY55" s="42"/>
      <c r="AZ55" s="42"/>
      <c r="BA55" s="42"/>
      <c r="BB55" s="42"/>
      <c r="BC55" s="42"/>
      <c r="BD55" s="42"/>
      <c r="BE55" s="42"/>
      <c r="BH55" s="31" t="s">
        <v>2267</v>
      </c>
      <c r="BI55" s="31" t="s">
        <v>2248</v>
      </c>
    </row>
    <row r="56" spans="1:61" ht="26" hidden="1" x14ac:dyDescent="0.35">
      <c r="A56" s="199" t="s">
        <v>2639</v>
      </c>
      <c r="B56" s="199" t="s">
        <v>2649</v>
      </c>
      <c r="C56" s="200" t="s">
        <v>1890</v>
      </c>
      <c r="D56" s="200" t="s">
        <v>131</v>
      </c>
      <c r="E56" s="200">
        <v>0</v>
      </c>
      <c r="F56" s="200" t="s">
        <v>43</v>
      </c>
      <c r="G56" s="85"/>
      <c r="H56" s="86"/>
      <c r="I56" s="87"/>
      <c r="J56" s="88"/>
      <c r="K56" s="89"/>
      <c r="L56" s="90"/>
      <c r="M56" s="165"/>
      <c r="N56" s="134"/>
      <c r="O56" s="45"/>
      <c r="P56" s="130"/>
      <c r="Q56" s="45"/>
      <c r="R56" s="136"/>
      <c r="S56" s="139"/>
      <c r="T56" s="136"/>
      <c r="U56" s="139"/>
      <c r="V56" s="45"/>
      <c r="W56" s="136"/>
      <c r="X56" s="134"/>
      <c r="Y56" s="166"/>
      <c r="Z56" s="126"/>
      <c r="AA56" s="130"/>
      <c r="AB56" s="126"/>
      <c r="AC56" s="130"/>
      <c r="AD56" s="126"/>
      <c r="AE56" s="130"/>
      <c r="AF56" s="126"/>
      <c r="AG56" s="43">
        <v>1</v>
      </c>
      <c r="AH56" s="44"/>
      <c r="AI56" s="45"/>
      <c r="AJ56" s="46"/>
      <c r="AK56" s="41"/>
      <c r="AL56" s="47"/>
      <c r="AM56" s="48"/>
      <c r="AN56" s="111"/>
      <c r="AO56" s="42"/>
      <c r="AP56" s="42"/>
      <c r="AQ56" s="115"/>
      <c r="AR56" s="75"/>
      <c r="AS56" s="40">
        <f t="shared" si="0"/>
        <v>1</v>
      </c>
      <c r="AW56" s="42"/>
      <c r="AX56" s="42"/>
      <c r="AY56" s="42"/>
      <c r="AZ56" s="42"/>
      <c r="BA56" s="42"/>
      <c r="BB56" s="42"/>
      <c r="BC56" s="42"/>
      <c r="BD56" s="42"/>
      <c r="BE56" s="42"/>
      <c r="BH56" s="31" t="s">
        <v>2266</v>
      </c>
      <c r="BI56" s="31" t="s">
        <v>2248</v>
      </c>
    </row>
    <row r="57" spans="1:61" ht="26" hidden="1" x14ac:dyDescent="0.35">
      <c r="A57" s="199" t="s">
        <v>2639</v>
      </c>
      <c r="B57" s="199" t="s">
        <v>2649</v>
      </c>
      <c r="C57" s="200" t="s">
        <v>63</v>
      </c>
      <c r="D57" s="200" t="s">
        <v>131</v>
      </c>
      <c r="E57" s="200">
        <v>1000</v>
      </c>
      <c r="F57" s="200" t="s">
        <v>65</v>
      </c>
      <c r="G57" s="85"/>
      <c r="H57" s="86"/>
      <c r="I57" s="87">
        <v>1</v>
      </c>
      <c r="J57" s="88"/>
      <c r="K57" s="89"/>
      <c r="L57" s="90"/>
      <c r="M57" s="165"/>
      <c r="N57" s="134"/>
      <c r="O57" s="45"/>
      <c r="P57" s="130"/>
      <c r="Q57" s="45"/>
      <c r="R57" s="136"/>
      <c r="S57" s="139"/>
      <c r="T57" s="136"/>
      <c r="U57" s="139"/>
      <c r="V57" s="45"/>
      <c r="W57" s="136"/>
      <c r="X57" s="134"/>
      <c r="Y57" s="166"/>
      <c r="Z57" s="126"/>
      <c r="AA57" s="130" t="s">
        <v>12</v>
      </c>
      <c r="AB57" s="126"/>
      <c r="AC57" s="130"/>
      <c r="AD57" s="126"/>
      <c r="AE57" s="130"/>
      <c r="AF57" s="126"/>
      <c r="AG57" s="43"/>
      <c r="AH57" s="44">
        <v>1</v>
      </c>
      <c r="AI57" s="45"/>
      <c r="AJ57" s="46"/>
      <c r="AK57" s="41"/>
      <c r="AL57" s="47"/>
      <c r="AM57" s="48"/>
      <c r="AN57" s="111"/>
      <c r="AO57" s="42"/>
      <c r="AP57" s="42"/>
      <c r="AQ57" s="115"/>
      <c r="AR57" s="75"/>
      <c r="AS57" s="40">
        <f t="shared" si="0"/>
        <v>1</v>
      </c>
      <c r="AW57" s="42"/>
      <c r="AX57" s="42"/>
      <c r="AY57" s="42"/>
      <c r="AZ57" s="42"/>
      <c r="BA57" s="42"/>
      <c r="BB57" s="42"/>
      <c r="BC57" s="42"/>
      <c r="BD57" s="42"/>
      <c r="BE57" s="42"/>
      <c r="BH57" s="31" t="s">
        <v>2253</v>
      </c>
      <c r="BI57" s="31" t="s">
        <v>2248</v>
      </c>
    </row>
    <row r="58" spans="1:61" ht="26" hidden="1" x14ac:dyDescent="0.35">
      <c r="A58" s="199" t="s">
        <v>2639</v>
      </c>
      <c r="B58" s="199" t="s">
        <v>2649</v>
      </c>
      <c r="C58" s="200" t="s">
        <v>104</v>
      </c>
      <c r="D58" s="200" t="s">
        <v>131</v>
      </c>
      <c r="E58" s="200">
        <v>1000</v>
      </c>
      <c r="F58" s="200"/>
      <c r="G58" s="85"/>
      <c r="H58" s="86">
        <v>2</v>
      </c>
      <c r="I58" s="87"/>
      <c r="J58" s="88"/>
      <c r="K58" s="89"/>
      <c r="L58" s="90"/>
      <c r="M58" s="165"/>
      <c r="N58" s="134"/>
      <c r="O58" s="45"/>
      <c r="P58" s="130"/>
      <c r="Q58" s="45"/>
      <c r="R58" s="136"/>
      <c r="S58" s="139"/>
      <c r="T58" s="136"/>
      <c r="U58" s="139"/>
      <c r="V58" s="45"/>
      <c r="W58" s="136"/>
      <c r="X58" s="134"/>
      <c r="Y58" s="166"/>
      <c r="Z58" s="126"/>
      <c r="AA58" s="130"/>
      <c r="AB58" s="126" t="s">
        <v>12</v>
      </c>
      <c r="AC58" s="130"/>
      <c r="AD58" s="126"/>
      <c r="AE58" s="130"/>
      <c r="AF58" s="126"/>
      <c r="AG58" s="43"/>
      <c r="AH58" s="44"/>
      <c r="AI58" s="45"/>
      <c r="AJ58" s="46">
        <v>1</v>
      </c>
      <c r="AK58" s="41"/>
      <c r="AL58" s="47"/>
      <c r="AM58" s="48"/>
      <c r="AN58" s="111"/>
      <c r="AO58" s="42"/>
      <c r="AP58" s="42"/>
      <c r="AQ58" s="115"/>
      <c r="AR58" s="75"/>
      <c r="AS58" s="40">
        <f t="shared" si="0"/>
        <v>1</v>
      </c>
      <c r="AW58" s="42"/>
      <c r="AX58" s="42"/>
      <c r="AY58" s="42"/>
      <c r="AZ58" s="42"/>
      <c r="BA58" s="42"/>
      <c r="BB58" s="42"/>
      <c r="BC58" s="42"/>
      <c r="BD58" s="42"/>
      <c r="BE58" s="42"/>
      <c r="BH58" s="31" t="s">
        <v>2256</v>
      </c>
      <c r="BI58" s="31" t="s">
        <v>2248</v>
      </c>
    </row>
    <row r="59" spans="1:61" hidden="1" x14ac:dyDescent="0.35">
      <c r="A59" s="199" t="s">
        <v>2639</v>
      </c>
      <c r="B59" s="199" t="s">
        <v>2649</v>
      </c>
      <c r="C59" s="200" t="s">
        <v>39</v>
      </c>
      <c r="D59" s="200" t="s">
        <v>131</v>
      </c>
      <c r="E59" s="200">
        <v>200</v>
      </c>
      <c r="F59" s="200"/>
      <c r="G59" s="85" t="s">
        <v>38</v>
      </c>
      <c r="H59" s="86"/>
      <c r="I59" s="87"/>
      <c r="J59" s="88"/>
      <c r="K59" s="89"/>
      <c r="L59" s="90"/>
      <c r="M59" s="165"/>
      <c r="N59" s="134"/>
      <c r="O59" s="45"/>
      <c r="P59" s="130"/>
      <c r="Q59" s="45"/>
      <c r="R59" s="136"/>
      <c r="S59" s="139"/>
      <c r="T59" s="136"/>
      <c r="U59" s="139"/>
      <c r="V59" s="45"/>
      <c r="W59" s="136"/>
      <c r="X59" s="134"/>
      <c r="Y59" s="166"/>
      <c r="Z59" s="126"/>
      <c r="AA59" s="130"/>
      <c r="AB59" s="126"/>
      <c r="AC59" s="130"/>
      <c r="AD59" s="126"/>
      <c r="AE59" s="130"/>
      <c r="AF59" s="126"/>
      <c r="AG59" s="43">
        <v>1</v>
      </c>
      <c r="AH59" s="44">
        <v>1</v>
      </c>
      <c r="AI59" s="45">
        <v>1</v>
      </c>
      <c r="AJ59" s="46"/>
      <c r="AK59" s="41"/>
      <c r="AL59" s="47"/>
      <c r="AM59" s="48"/>
      <c r="AN59" s="111"/>
      <c r="AO59" s="42"/>
      <c r="AP59" s="42"/>
      <c r="AQ59" s="115"/>
      <c r="AR59" s="75"/>
      <c r="AS59" s="40">
        <f t="shared" si="0"/>
        <v>3</v>
      </c>
      <c r="AW59" s="42"/>
      <c r="AX59" s="42"/>
      <c r="AY59" s="42"/>
      <c r="AZ59" s="42"/>
      <c r="BA59" s="42"/>
      <c r="BB59" s="42"/>
      <c r="BC59" s="42"/>
      <c r="BD59" s="42"/>
      <c r="BE59" s="42"/>
      <c r="BH59" s="31" t="s">
        <v>2270</v>
      </c>
      <c r="BI59" s="31" t="s">
        <v>2248</v>
      </c>
    </row>
    <row r="60" spans="1:61" hidden="1" x14ac:dyDescent="0.35">
      <c r="A60" s="199" t="s">
        <v>2639</v>
      </c>
      <c r="B60" s="199" t="s">
        <v>2649</v>
      </c>
      <c r="C60" s="200" t="s">
        <v>75</v>
      </c>
      <c r="D60" s="200" t="s">
        <v>131</v>
      </c>
      <c r="E60" s="200">
        <v>1400</v>
      </c>
      <c r="F60" s="200"/>
      <c r="G60" s="85"/>
      <c r="H60" s="86"/>
      <c r="I60" s="87">
        <v>2</v>
      </c>
      <c r="J60" s="88"/>
      <c r="K60" s="89"/>
      <c r="L60" s="90"/>
      <c r="M60" s="165"/>
      <c r="N60" s="134"/>
      <c r="O60" s="45"/>
      <c r="P60" s="130"/>
      <c r="Q60" s="45"/>
      <c r="R60" s="136"/>
      <c r="S60" s="139"/>
      <c r="T60" s="136"/>
      <c r="U60" s="139"/>
      <c r="V60" s="45"/>
      <c r="W60" s="136"/>
      <c r="X60" s="134"/>
      <c r="Y60" s="166"/>
      <c r="Z60" s="126"/>
      <c r="AA60" s="130"/>
      <c r="AB60" s="126"/>
      <c r="AC60" s="130" t="s">
        <v>12</v>
      </c>
      <c r="AD60" s="126"/>
      <c r="AE60" s="130"/>
      <c r="AF60" s="126"/>
      <c r="AG60" s="43"/>
      <c r="AH60" s="44"/>
      <c r="AI60" s="45"/>
      <c r="AJ60" s="46"/>
      <c r="AK60" s="41">
        <v>1</v>
      </c>
      <c r="AL60" s="47"/>
      <c r="AM60" s="48"/>
      <c r="AN60" s="111"/>
      <c r="AO60" s="42"/>
      <c r="AP60" s="42"/>
      <c r="AQ60" s="115"/>
      <c r="AR60" s="75"/>
      <c r="AS60" s="40">
        <f t="shared" si="0"/>
        <v>1</v>
      </c>
      <c r="AW60" s="42"/>
      <c r="AX60" s="42"/>
      <c r="AY60" s="42"/>
      <c r="AZ60" s="42"/>
      <c r="BA60" s="42"/>
      <c r="BB60" s="42"/>
      <c r="BC60" s="42"/>
      <c r="BD60" s="42"/>
      <c r="BE60" s="42"/>
      <c r="BH60" s="31" t="s">
        <v>2252</v>
      </c>
      <c r="BI60" s="31" t="s">
        <v>2248</v>
      </c>
    </row>
    <row r="61" spans="1:61" hidden="1" x14ac:dyDescent="0.35">
      <c r="A61" s="199" t="s">
        <v>2639</v>
      </c>
      <c r="B61" s="199" t="s">
        <v>2649</v>
      </c>
      <c r="C61" s="200" t="s">
        <v>32</v>
      </c>
      <c r="D61" s="200" t="s">
        <v>131</v>
      </c>
      <c r="E61" s="200">
        <v>400</v>
      </c>
      <c r="F61" s="200"/>
      <c r="G61" s="85">
        <v>1</v>
      </c>
      <c r="H61" s="86"/>
      <c r="I61" s="87"/>
      <c r="J61" s="88"/>
      <c r="K61" s="89"/>
      <c r="L61" s="90"/>
      <c r="M61" s="165"/>
      <c r="N61" s="134"/>
      <c r="O61" s="45"/>
      <c r="P61" s="130"/>
      <c r="Q61" s="45"/>
      <c r="R61" s="136"/>
      <c r="S61" s="139"/>
      <c r="T61" s="136"/>
      <c r="U61" s="139"/>
      <c r="V61" s="45"/>
      <c r="W61" s="136"/>
      <c r="X61" s="134"/>
      <c r="Y61" s="166"/>
      <c r="Z61" s="126"/>
      <c r="AA61" s="130"/>
      <c r="AB61" s="126"/>
      <c r="AC61" s="130"/>
      <c r="AD61" s="126" t="s">
        <v>12</v>
      </c>
      <c r="AE61" s="130"/>
      <c r="AF61" s="126"/>
      <c r="AG61" s="43">
        <v>1</v>
      </c>
      <c r="AH61" s="44"/>
      <c r="AI61" s="45">
        <v>2</v>
      </c>
      <c r="AJ61" s="46">
        <v>2</v>
      </c>
      <c r="AK61" s="41"/>
      <c r="AL61" s="47"/>
      <c r="AM61" s="48"/>
      <c r="AN61" s="111"/>
      <c r="AO61" s="42"/>
      <c r="AP61" s="42"/>
      <c r="AQ61" s="115"/>
      <c r="AR61" s="75"/>
      <c r="AS61" s="40">
        <f t="shared" si="0"/>
        <v>5</v>
      </c>
      <c r="AW61" s="42"/>
      <c r="AX61" s="42"/>
      <c r="AY61" s="42"/>
      <c r="AZ61" s="42"/>
      <c r="BA61" s="42"/>
      <c r="BB61" s="42"/>
      <c r="BC61" s="42"/>
      <c r="BD61" s="42"/>
      <c r="BE61" s="42"/>
      <c r="BH61" s="31" t="s">
        <v>2274</v>
      </c>
      <c r="BI61" s="31" t="s">
        <v>2248</v>
      </c>
    </row>
    <row r="62" spans="1:61" hidden="1" x14ac:dyDescent="0.35">
      <c r="A62" s="199" t="s">
        <v>2639</v>
      </c>
      <c r="B62" s="199" t="s">
        <v>2649</v>
      </c>
      <c r="C62" s="200" t="s">
        <v>34</v>
      </c>
      <c r="D62" s="200" t="s">
        <v>131</v>
      </c>
      <c r="E62" s="200">
        <v>1000</v>
      </c>
      <c r="F62" s="200"/>
      <c r="G62" s="85"/>
      <c r="H62" s="86">
        <v>1</v>
      </c>
      <c r="I62" s="87"/>
      <c r="J62" s="88"/>
      <c r="K62" s="89"/>
      <c r="L62" s="90"/>
      <c r="M62" s="165"/>
      <c r="N62" s="134"/>
      <c r="O62" s="45"/>
      <c r="P62" s="130"/>
      <c r="Q62" s="45"/>
      <c r="R62" s="136"/>
      <c r="S62" s="139"/>
      <c r="T62" s="136"/>
      <c r="U62" s="139"/>
      <c r="V62" s="45"/>
      <c r="W62" s="136"/>
      <c r="X62" s="134"/>
      <c r="Y62" s="166"/>
      <c r="Z62" s="126"/>
      <c r="AA62" s="130"/>
      <c r="AB62" s="126" t="s">
        <v>12</v>
      </c>
      <c r="AC62" s="130"/>
      <c r="AD62" s="126"/>
      <c r="AE62" s="130"/>
      <c r="AF62" s="126"/>
      <c r="AG62" s="43">
        <v>1</v>
      </c>
      <c r="AH62" s="44">
        <v>1</v>
      </c>
      <c r="AI62" s="45"/>
      <c r="AJ62" s="46"/>
      <c r="AK62" s="41">
        <v>1</v>
      </c>
      <c r="AL62" s="47"/>
      <c r="AM62" s="48"/>
      <c r="AN62" s="111"/>
      <c r="AO62" s="42"/>
      <c r="AP62" s="42"/>
      <c r="AQ62" s="115"/>
      <c r="AR62" s="75"/>
      <c r="AS62" s="40">
        <f t="shared" si="0"/>
        <v>3</v>
      </c>
      <c r="AW62" s="42"/>
      <c r="AX62" s="42"/>
      <c r="AY62" s="42"/>
      <c r="AZ62" s="42"/>
      <c r="BA62" s="42"/>
      <c r="BB62" s="42"/>
      <c r="BC62" s="42"/>
      <c r="BD62" s="42"/>
      <c r="BE62" s="42"/>
      <c r="BH62" s="31" t="s">
        <v>2269</v>
      </c>
      <c r="BI62" s="31" t="s">
        <v>2248</v>
      </c>
    </row>
    <row r="63" spans="1:61" hidden="1" x14ac:dyDescent="0.35">
      <c r="A63" s="199" t="s">
        <v>2639</v>
      </c>
      <c r="B63" s="199" t="s">
        <v>2649</v>
      </c>
      <c r="C63" s="200" t="s">
        <v>31</v>
      </c>
      <c r="D63" s="200" t="s">
        <v>131</v>
      </c>
      <c r="E63" s="200">
        <v>800</v>
      </c>
      <c r="F63" s="200"/>
      <c r="G63" s="85"/>
      <c r="H63" s="86"/>
      <c r="I63" s="87">
        <v>1</v>
      </c>
      <c r="J63" s="88"/>
      <c r="K63" s="89"/>
      <c r="L63" s="90"/>
      <c r="M63" s="165"/>
      <c r="N63" s="134"/>
      <c r="O63" s="45"/>
      <c r="P63" s="130"/>
      <c r="Q63" s="45"/>
      <c r="R63" s="136"/>
      <c r="S63" s="139"/>
      <c r="T63" s="136"/>
      <c r="U63" s="139"/>
      <c r="V63" s="45"/>
      <c r="W63" s="136"/>
      <c r="X63" s="134"/>
      <c r="Y63" s="166"/>
      <c r="Z63" s="126"/>
      <c r="AA63" s="130" t="s">
        <v>12</v>
      </c>
      <c r="AB63" s="126"/>
      <c r="AC63" s="130"/>
      <c r="AD63" s="126"/>
      <c r="AE63" s="130"/>
      <c r="AF63" s="126"/>
      <c r="AG63" s="43">
        <v>1</v>
      </c>
      <c r="AH63" s="44"/>
      <c r="AI63" s="45"/>
      <c r="AJ63" s="46"/>
      <c r="AK63" s="41"/>
      <c r="AL63" s="47"/>
      <c r="AM63" s="48"/>
      <c r="AN63" s="111"/>
      <c r="AO63" s="42"/>
      <c r="AP63" s="42"/>
      <c r="AQ63" s="115"/>
      <c r="AR63" s="75"/>
      <c r="AS63" s="40">
        <f t="shared" si="0"/>
        <v>1</v>
      </c>
      <c r="AW63" s="42"/>
      <c r="AX63" s="42"/>
      <c r="AY63" s="42"/>
      <c r="AZ63" s="42"/>
      <c r="BA63" s="42"/>
      <c r="BB63" s="42"/>
      <c r="BC63" s="42"/>
      <c r="BD63" s="42"/>
      <c r="BE63" s="42"/>
      <c r="BH63" s="31" t="s">
        <v>2266</v>
      </c>
      <c r="BI63" s="31" t="s">
        <v>2248</v>
      </c>
    </row>
    <row r="64" spans="1:61" hidden="1" x14ac:dyDescent="0.35">
      <c r="A64" s="199" t="s">
        <v>2639</v>
      </c>
      <c r="B64" s="199" t="s">
        <v>2649</v>
      </c>
      <c r="C64" s="200" t="s">
        <v>77</v>
      </c>
      <c r="D64" s="200" t="s">
        <v>131</v>
      </c>
      <c r="E64" s="200">
        <v>800</v>
      </c>
      <c r="F64" s="201" t="s">
        <v>79</v>
      </c>
      <c r="G64" s="85"/>
      <c r="H64" s="86">
        <v>1</v>
      </c>
      <c r="I64" s="87"/>
      <c r="J64" s="88"/>
      <c r="K64" s="89"/>
      <c r="L64" s="90"/>
      <c r="M64" s="165"/>
      <c r="N64" s="134"/>
      <c r="O64" s="45"/>
      <c r="P64" s="130"/>
      <c r="Q64" s="45"/>
      <c r="R64" s="136"/>
      <c r="S64" s="139"/>
      <c r="T64" s="136"/>
      <c r="U64" s="139"/>
      <c r="V64" s="45"/>
      <c r="W64" s="136"/>
      <c r="X64" s="134"/>
      <c r="Y64" s="166"/>
      <c r="Z64" s="126"/>
      <c r="AA64" s="130"/>
      <c r="AB64" s="126"/>
      <c r="AC64" s="130"/>
      <c r="AD64" s="126"/>
      <c r="AE64" s="130"/>
      <c r="AF64" s="126"/>
      <c r="AG64" s="43"/>
      <c r="AH64" s="44"/>
      <c r="AI64" s="45"/>
      <c r="AJ64" s="46"/>
      <c r="AK64" s="41">
        <v>1</v>
      </c>
      <c r="AL64" s="47"/>
      <c r="AM64" s="48"/>
      <c r="AN64" s="111"/>
      <c r="AO64" s="42"/>
      <c r="AP64" s="42"/>
      <c r="AQ64" s="115"/>
      <c r="AR64" s="75"/>
      <c r="AS64" s="40">
        <f t="shared" si="0"/>
        <v>1</v>
      </c>
      <c r="AW64" s="42"/>
      <c r="AX64" s="42"/>
      <c r="AY64" s="42"/>
      <c r="AZ64" s="42"/>
      <c r="BA64" s="42"/>
      <c r="BB64" s="42"/>
      <c r="BC64" s="42"/>
      <c r="BD64" s="42"/>
      <c r="BE64" s="42"/>
      <c r="BH64" s="31" t="s">
        <v>2252</v>
      </c>
      <c r="BI64" s="31" t="s">
        <v>2248</v>
      </c>
    </row>
    <row r="65" spans="1:62" hidden="1" x14ac:dyDescent="0.35">
      <c r="A65" s="199" t="s">
        <v>2639</v>
      </c>
      <c r="B65" s="199" t="s">
        <v>2649</v>
      </c>
      <c r="C65" s="200" t="s">
        <v>140</v>
      </c>
      <c r="D65" s="200" t="s">
        <v>136</v>
      </c>
      <c r="E65" s="200"/>
      <c r="F65" s="200" t="s">
        <v>141</v>
      </c>
      <c r="G65" s="85">
        <v>1</v>
      </c>
      <c r="H65" s="86">
        <v>1</v>
      </c>
      <c r="I65" s="87">
        <v>1</v>
      </c>
      <c r="J65" s="88"/>
      <c r="K65" s="89"/>
      <c r="L65" s="90"/>
      <c r="M65" s="165"/>
      <c r="N65" s="134"/>
      <c r="O65" s="45"/>
      <c r="P65" s="130"/>
      <c r="Q65" s="45"/>
      <c r="R65" s="136"/>
      <c r="S65" s="139"/>
      <c r="T65" s="136"/>
      <c r="U65" s="139"/>
      <c r="V65" s="45"/>
      <c r="W65" s="136"/>
      <c r="X65" s="134"/>
      <c r="Y65" s="166"/>
      <c r="Z65" s="126"/>
      <c r="AA65" s="130" t="s">
        <v>12</v>
      </c>
      <c r="AB65" s="126"/>
      <c r="AC65" s="130"/>
      <c r="AD65" s="126"/>
      <c r="AE65" s="130"/>
      <c r="AF65" s="126"/>
      <c r="AG65" s="43"/>
      <c r="AH65" s="44"/>
      <c r="AI65" s="45"/>
      <c r="AJ65" s="46"/>
      <c r="AK65" s="41"/>
      <c r="AL65" s="47"/>
      <c r="AM65" s="48"/>
      <c r="AN65" s="111"/>
      <c r="AO65" s="42"/>
      <c r="AP65" s="42"/>
      <c r="AQ65" s="115"/>
      <c r="AR65" s="75">
        <v>1</v>
      </c>
      <c r="AS65" s="40">
        <f t="shared" si="0"/>
        <v>1</v>
      </c>
      <c r="AW65" s="42"/>
      <c r="AX65" s="42"/>
      <c r="AY65" s="42"/>
      <c r="AZ65" s="42"/>
      <c r="BA65" s="42"/>
      <c r="BB65" s="42"/>
      <c r="BC65" s="42"/>
      <c r="BD65" s="42"/>
      <c r="BE65" s="42"/>
    </row>
    <row r="66" spans="1:62" ht="26" hidden="1" x14ac:dyDescent="0.35">
      <c r="A66" s="199" t="s">
        <v>2639</v>
      </c>
      <c r="B66" s="199" t="s">
        <v>2649</v>
      </c>
      <c r="C66" s="200" t="s">
        <v>144</v>
      </c>
      <c r="D66" s="200" t="s">
        <v>136</v>
      </c>
      <c r="E66" s="200"/>
      <c r="F66" s="200" t="s">
        <v>145</v>
      </c>
      <c r="G66" s="85"/>
      <c r="H66" s="86">
        <v>2</v>
      </c>
      <c r="I66" s="87">
        <v>1</v>
      </c>
      <c r="J66" s="88"/>
      <c r="K66" s="89"/>
      <c r="L66" s="90"/>
      <c r="M66" s="165"/>
      <c r="N66" s="134"/>
      <c r="O66" s="45"/>
      <c r="P66" s="130"/>
      <c r="Q66" s="45"/>
      <c r="R66" s="136" t="s">
        <v>12</v>
      </c>
      <c r="S66" s="139"/>
      <c r="T66" s="136"/>
      <c r="U66" s="139"/>
      <c r="V66" s="45"/>
      <c r="W66" s="136"/>
      <c r="X66" s="134"/>
      <c r="Y66" s="166"/>
      <c r="Z66" s="126"/>
      <c r="AA66" s="130"/>
      <c r="AB66" s="126"/>
      <c r="AC66" s="130"/>
      <c r="AD66" s="126"/>
      <c r="AE66" s="130"/>
      <c r="AF66" s="126"/>
      <c r="AG66" s="43"/>
      <c r="AH66" s="44"/>
      <c r="AI66" s="45"/>
      <c r="AJ66" s="46"/>
      <c r="AK66" s="41"/>
      <c r="AL66" s="47"/>
      <c r="AM66" s="48"/>
      <c r="AN66" s="111"/>
      <c r="AO66" s="42"/>
      <c r="AP66" s="42"/>
      <c r="AQ66" s="115"/>
      <c r="AR66" s="75">
        <v>1</v>
      </c>
      <c r="AS66" s="40">
        <f t="shared" ref="AS66:AS129" si="6">SUM(AG66:AR66)</f>
        <v>1</v>
      </c>
      <c r="AW66" s="42"/>
      <c r="AX66" s="42"/>
      <c r="AY66" s="42"/>
      <c r="AZ66" s="42"/>
      <c r="BA66" s="42"/>
      <c r="BB66" s="42"/>
      <c r="BC66" s="42"/>
      <c r="BD66" s="42"/>
      <c r="BE66" s="42"/>
    </row>
    <row r="67" spans="1:62" hidden="1" x14ac:dyDescent="0.35">
      <c r="A67" s="199" t="s">
        <v>2639</v>
      </c>
      <c r="B67" s="199" t="s">
        <v>2649</v>
      </c>
      <c r="C67" s="200" t="s">
        <v>148</v>
      </c>
      <c r="D67" s="200" t="s">
        <v>136</v>
      </c>
      <c r="E67" s="200"/>
      <c r="F67" s="200" t="s">
        <v>149</v>
      </c>
      <c r="G67" s="85">
        <v>2</v>
      </c>
      <c r="H67" s="86"/>
      <c r="I67" s="87">
        <v>1</v>
      </c>
      <c r="J67" s="88" t="s">
        <v>12</v>
      </c>
      <c r="K67" s="89"/>
      <c r="L67" s="90"/>
      <c r="M67" s="165"/>
      <c r="N67" s="134"/>
      <c r="O67" s="45"/>
      <c r="P67" s="130"/>
      <c r="Q67" s="45"/>
      <c r="R67" s="136"/>
      <c r="S67" s="139"/>
      <c r="T67" s="136"/>
      <c r="U67" s="139" t="s">
        <v>12</v>
      </c>
      <c r="V67" s="45" t="s">
        <v>12</v>
      </c>
      <c r="W67" s="136"/>
      <c r="X67" s="134"/>
      <c r="Y67" s="166"/>
      <c r="Z67" s="126"/>
      <c r="AA67" s="130"/>
      <c r="AB67" s="126"/>
      <c r="AC67" s="130"/>
      <c r="AD67" s="126"/>
      <c r="AE67" s="130"/>
      <c r="AF67" s="126"/>
      <c r="AG67" s="43"/>
      <c r="AH67" s="44"/>
      <c r="AI67" s="45"/>
      <c r="AJ67" s="46"/>
      <c r="AK67" s="41"/>
      <c r="AL67" s="47"/>
      <c r="AM67" s="48"/>
      <c r="AN67" s="111"/>
      <c r="AO67" s="42"/>
      <c r="AP67" s="42"/>
      <c r="AQ67" s="115"/>
      <c r="AR67" s="75">
        <v>1</v>
      </c>
      <c r="AS67" s="40">
        <f t="shared" si="6"/>
        <v>1</v>
      </c>
      <c r="AW67" s="42"/>
      <c r="AX67" s="42"/>
      <c r="AY67" s="42"/>
      <c r="AZ67" s="42"/>
      <c r="BA67" s="42"/>
      <c r="BB67" s="42"/>
      <c r="BC67" s="42"/>
      <c r="BD67" s="42"/>
      <c r="BE67" s="42"/>
    </row>
    <row r="68" spans="1:62" ht="26" hidden="1" x14ac:dyDescent="0.35">
      <c r="A68" s="199" t="s">
        <v>2639</v>
      </c>
      <c r="B68" s="199" t="s">
        <v>2649</v>
      </c>
      <c r="C68" s="200" t="s">
        <v>138</v>
      </c>
      <c r="D68" s="200" t="s">
        <v>136</v>
      </c>
      <c r="E68" s="200"/>
      <c r="F68" s="200" t="s">
        <v>139</v>
      </c>
      <c r="G68" s="85">
        <v>2</v>
      </c>
      <c r="H68" s="86">
        <v>1</v>
      </c>
      <c r="I68" s="87"/>
      <c r="J68" s="88"/>
      <c r="K68" s="89"/>
      <c r="L68" s="90"/>
      <c r="M68" s="165"/>
      <c r="N68" s="134"/>
      <c r="O68" s="45"/>
      <c r="P68" s="130"/>
      <c r="Q68" s="45"/>
      <c r="R68" s="136"/>
      <c r="S68" s="139"/>
      <c r="T68" s="136"/>
      <c r="U68" s="139"/>
      <c r="V68" s="45"/>
      <c r="W68" s="136"/>
      <c r="X68" s="134"/>
      <c r="Y68" s="166"/>
      <c r="Z68" s="126"/>
      <c r="AA68" s="130"/>
      <c r="AB68" s="126"/>
      <c r="AC68" s="130" t="s">
        <v>12</v>
      </c>
      <c r="AD68" s="126"/>
      <c r="AE68" s="130"/>
      <c r="AF68" s="126"/>
      <c r="AG68" s="43"/>
      <c r="AH68" s="44"/>
      <c r="AI68" s="45"/>
      <c r="AJ68" s="46"/>
      <c r="AK68" s="41"/>
      <c r="AL68" s="47"/>
      <c r="AM68" s="48"/>
      <c r="AN68" s="111"/>
      <c r="AO68" s="42"/>
      <c r="AP68" s="42"/>
      <c r="AQ68" s="115"/>
      <c r="AR68" s="75">
        <v>1</v>
      </c>
      <c r="AS68" s="40">
        <f t="shared" si="6"/>
        <v>1</v>
      </c>
      <c r="AW68" s="42"/>
      <c r="AX68" s="42"/>
      <c r="AY68" s="42"/>
      <c r="AZ68" s="42"/>
      <c r="BA68" s="42"/>
      <c r="BB68" s="42"/>
      <c r="BC68" s="42"/>
      <c r="BD68" s="42"/>
      <c r="BE68" s="42"/>
    </row>
    <row r="69" spans="1:62" ht="26" hidden="1" x14ac:dyDescent="0.35">
      <c r="A69" s="199" t="s">
        <v>2639</v>
      </c>
      <c r="B69" s="199" t="s">
        <v>2649</v>
      </c>
      <c r="C69" s="200" t="s">
        <v>142</v>
      </c>
      <c r="D69" s="200" t="s">
        <v>136</v>
      </c>
      <c r="E69" s="200"/>
      <c r="F69" s="200" t="s">
        <v>143</v>
      </c>
      <c r="G69" s="85">
        <v>2</v>
      </c>
      <c r="H69" s="86">
        <v>1</v>
      </c>
      <c r="I69" s="87"/>
      <c r="J69" s="88" t="s">
        <v>12</v>
      </c>
      <c r="K69" s="89"/>
      <c r="L69" s="90"/>
      <c r="M69" s="165"/>
      <c r="N69" s="134"/>
      <c r="O69" s="45"/>
      <c r="P69" s="130"/>
      <c r="Q69" s="45"/>
      <c r="R69" s="136" t="s">
        <v>12</v>
      </c>
      <c r="S69" s="139"/>
      <c r="T69" s="136"/>
      <c r="U69" s="139"/>
      <c r="V69" s="45" t="s">
        <v>12</v>
      </c>
      <c r="W69" s="136"/>
      <c r="X69" s="134"/>
      <c r="Y69" s="166"/>
      <c r="Z69" s="126"/>
      <c r="AA69" s="130"/>
      <c r="AB69" s="126"/>
      <c r="AC69" s="130"/>
      <c r="AD69" s="126"/>
      <c r="AE69" s="130"/>
      <c r="AF69" s="126"/>
      <c r="AG69" s="43"/>
      <c r="AH69" s="44"/>
      <c r="AI69" s="45"/>
      <c r="AJ69" s="46"/>
      <c r="AK69" s="41"/>
      <c r="AL69" s="47"/>
      <c r="AM69" s="48"/>
      <c r="AN69" s="111"/>
      <c r="AO69" s="42"/>
      <c r="AP69" s="42"/>
      <c r="AQ69" s="115"/>
      <c r="AR69" s="75">
        <v>1</v>
      </c>
      <c r="AS69" s="40">
        <f t="shared" si="6"/>
        <v>1</v>
      </c>
      <c r="AW69" s="40"/>
      <c r="AX69" s="40"/>
      <c r="AY69" s="40"/>
      <c r="AZ69" s="42"/>
      <c r="BA69" s="42"/>
      <c r="BB69" s="42"/>
      <c r="BC69" s="42"/>
      <c r="BD69" s="42"/>
      <c r="BE69" s="42"/>
    </row>
    <row r="70" spans="1:62" hidden="1" x14ac:dyDescent="0.35">
      <c r="A70" s="199" t="s">
        <v>2639</v>
      </c>
      <c r="B70" s="199" t="s">
        <v>2649</v>
      </c>
      <c r="C70" s="200" t="s">
        <v>146</v>
      </c>
      <c r="D70" s="200" t="s">
        <v>136</v>
      </c>
      <c r="E70" s="200"/>
      <c r="F70" s="200" t="s">
        <v>147</v>
      </c>
      <c r="G70" s="85">
        <v>1</v>
      </c>
      <c r="H70" s="86"/>
      <c r="I70" s="87">
        <v>2</v>
      </c>
      <c r="J70" s="88" t="s">
        <v>12</v>
      </c>
      <c r="K70" s="89"/>
      <c r="L70" s="90"/>
      <c r="M70" s="165" t="s">
        <v>12</v>
      </c>
      <c r="N70" s="134"/>
      <c r="O70" s="45"/>
      <c r="P70" s="130"/>
      <c r="Q70" s="45"/>
      <c r="R70" s="136"/>
      <c r="S70" s="139"/>
      <c r="T70" s="136"/>
      <c r="U70" s="139"/>
      <c r="V70" s="45"/>
      <c r="W70" s="136"/>
      <c r="X70" s="134"/>
      <c r="Y70" s="166"/>
      <c r="Z70" s="126"/>
      <c r="AA70" s="130"/>
      <c r="AB70" s="126"/>
      <c r="AC70" s="130"/>
      <c r="AD70" s="126"/>
      <c r="AE70" s="130"/>
      <c r="AF70" s="126"/>
      <c r="AG70" s="43"/>
      <c r="AH70" s="44"/>
      <c r="AI70" s="45"/>
      <c r="AJ70" s="46"/>
      <c r="AK70" s="41"/>
      <c r="AL70" s="47"/>
      <c r="AM70" s="48"/>
      <c r="AN70" s="111"/>
      <c r="AO70" s="42"/>
      <c r="AP70" s="42"/>
      <c r="AQ70" s="115"/>
      <c r="AR70" s="75">
        <v>1</v>
      </c>
      <c r="AS70" s="40">
        <f t="shared" si="6"/>
        <v>1</v>
      </c>
      <c r="AW70" s="40"/>
      <c r="AX70" s="40"/>
      <c r="AY70" s="40"/>
      <c r="AZ70" s="42"/>
      <c r="BA70" s="42"/>
      <c r="BB70" s="42"/>
      <c r="BC70" s="42"/>
      <c r="BD70" s="42"/>
      <c r="BE70" s="42"/>
    </row>
    <row r="71" spans="1:62" hidden="1" x14ac:dyDescent="0.35">
      <c r="A71" s="199" t="s">
        <v>2639</v>
      </c>
      <c r="B71" s="199" t="s">
        <v>2649</v>
      </c>
      <c r="C71" s="200" t="s">
        <v>135</v>
      </c>
      <c r="D71" s="200" t="s">
        <v>136</v>
      </c>
      <c r="E71" s="200"/>
      <c r="F71" s="200" t="s">
        <v>137</v>
      </c>
      <c r="G71" s="85">
        <v>2</v>
      </c>
      <c r="H71" s="86"/>
      <c r="I71" s="87">
        <v>1</v>
      </c>
      <c r="J71" s="88"/>
      <c r="K71" s="89"/>
      <c r="L71" s="90"/>
      <c r="M71" s="165"/>
      <c r="N71" s="134"/>
      <c r="O71" s="45"/>
      <c r="P71" s="130"/>
      <c r="Q71" s="45"/>
      <c r="R71" s="136"/>
      <c r="S71" s="139"/>
      <c r="T71" s="136"/>
      <c r="U71" s="139"/>
      <c r="V71" s="45" t="s">
        <v>12</v>
      </c>
      <c r="W71" s="136"/>
      <c r="X71" s="134"/>
      <c r="Y71" s="166"/>
      <c r="Z71" s="126"/>
      <c r="AA71" s="130"/>
      <c r="AB71" s="126"/>
      <c r="AC71" s="130"/>
      <c r="AD71" s="126"/>
      <c r="AE71" s="130"/>
      <c r="AF71" s="126"/>
      <c r="AG71" s="43"/>
      <c r="AH71" s="44"/>
      <c r="AI71" s="45"/>
      <c r="AJ71" s="46"/>
      <c r="AK71" s="41"/>
      <c r="AL71" s="47"/>
      <c r="AM71" s="48"/>
      <c r="AN71" s="111"/>
      <c r="AO71" s="42"/>
      <c r="AP71" s="42"/>
      <c r="AQ71" s="115"/>
      <c r="AR71" s="75">
        <v>1</v>
      </c>
      <c r="AS71" s="40">
        <f t="shared" si="6"/>
        <v>1</v>
      </c>
      <c r="AW71" s="40"/>
      <c r="AX71" s="40"/>
      <c r="AY71" s="40"/>
      <c r="AZ71" s="42"/>
      <c r="BA71" s="42"/>
      <c r="BB71" s="42"/>
      <c r="BC71" s="42"/>
      <c r="BD71" s="42"/>
      <c r="BE71" s="42"/>
    </row>
    <row r="72" spans="1:62" ht="26" hidden="1" x14ac:dyDescent="0.35">
      <c r="A72" s="199" t="s">
        <v>2639</v>
      </c>
      <c r="B72" s="199" t="s">
        <v>2649</v>
      </c>
      <c r="C72" s="200" t="s">
        <v>1875</v>
      </c>
      <c r="D72" s="200" t="s">
        <v>5</v>
      </c>
      <c r="E72" s="200">
        <v>1000</v>
      </c>
      <c r="F72" s="200" t="s">
        <v>1876</v>
      </c>
      <c r="G72" s="85"/>
      <c r="H72" s="86"/>
      <c r="I72" s="87"/>
      <c r="J72" s="88"/>
      <c r="K72" s="89"/>
      <c r="L72" s="90"/>
      <c r="M72" s="165"/>
      <c r="N72" s="134"/>
      <c r="O72" s="45"/>
      <c r="P72" s="130"/>
      <c r="Q72" s="45"/>
      <c r="R72" s="136"/>
      <c r="S72" s="139"/>
      <c r="T72" s="136"/>
      <c r="U72" s="139"/>
      <c r="V72" s="45"/>
      <c r="W72" s="136"/>
      <c r="X72" s="134"/>
      <c r="Y72" s="166"/>
      <c r="Z72" s="126"/>
      <c r="AA72" s="130"/>
      <c r="AB72" s="126"/>
      <c r="AC72" s="130"/>
      <c r="AD72" s="126"/>
      <c r="AE72" s="130"/>
      <c r="AF72" s="126"/>
      <c r="AG72" s="43"/>
      <c r="AH72" s="44"/>
      <c r="AI72" s="45"/>
      <c r="AJ72" s="46">
        <v>2</v>
      </c>
      <c r="AK72" s="41"/>
      <c r="AL72" s="47"/>
      <c r="AM72" s="48"/>
      <c r="AN72" s="111"/>
      <c r="AO72" s="42"/>
      <c r="AP72" s="42"/>
      <c r="AQ72" s="115"/>
      <c r="AR72" s="75"/>
      <c r="AS72" s="40">
        <f t="shared" si="6"/>
        <v>2</v>
      </c>
      <c r="AW72" s="42"/>
      <c r="AX72" s="42"/>
      <c r="AY72" s="42"/>
      <c r="AZ72" s="42"/>
      <c r="BA72" s="42"/>
      <c r="BB72" s="42"/>
      <c r="BC72" s="42"/>
      <c r="BD72" s="42"/>
      <c r="BE72" s="42"/>
      <c r="BH72" s="31" t="s">
        <v>2256</v>
      </c>
      <c r="BI72" s="31" t="s">
        <v>2248</v>
      </c>
    </row>
    <row r="73" spans="1:62" ht="39" hidden="1" x14ac:dyDescent="0.35">
      <c r="A73" s="199" t="s">
        <v>2639</v>
      </c>
      <c r="B73" s="199" t="s">
        <v>2649</v>
      </c>
      <c r="C73" s="200" t="s">
        <v>4</v>
      </c>
      <c r="D73" s="200" t="s">
        <v>5</v>
      </c>
      <c r="E73" s="200">
        <v>400</v>
      </c>
      <c r="F73" s="200" t="s">
        <v>1827</v>
      </c>
      <c r="G73" s="85"/>
      <c r="H73" s="86"/>
      <c r="I73" s="87"/>
      <c r="J73" s="88"/>
      <c r="K73" s="89"/>
      <c r="L73" s="90"/>
      <c r="M73" s="165"/>
      <c r="N73" s="134"/>
      <c r="O73" s="45"/>
      <c r="P73" s="130"/>
      <c r="Q73" s="45"/>
      <c r="R73" s="136"/>
      <c r="S73" s="139"/>
      <c r="T73" s="136"/>
      <c r="U73" s="139"/>
      <c r="V73" s="45"/>
      <c r="W73" s="136"/>
      <c r="X73" s="134"/>
      <c r="Y73" s="166"/>
      <c r="Z73" s="126"/>
      <c r="AA73" s="130"/>
      <c r="AB73" s="126"/>
      <c r="AC73" s="130"/>
      <c r="AD73" s="126"/>
      <c r="AE73" s="130"/>
      <c r="AF73" s="126"/>
      <c r="AG73" s="43">
        <v>2</v>
      </c>
      <c r="AH73" s="44">
        <v>2</v>
      </c>
      <c r="AI73" s="45"/>
      <c r="AJ73" s="46">
        <v>1</v>
      </c>
      <c r="AK73" s="41"/>
      <c r="AL73" s="47"/>
      <c r="AM73" s="48"/>
      <c r="AN73" s="111"/>
      <c r="AO73" s="42"/>
      <c r="AP73" s="42"/>
      <c r="AQ73" s="115"/>
      <c r="AR73" s="75"/>
      <c r="AS73" s="40">
        <f t="shared" si="6"/>
        <v>5</v>
      </c>
      <c r="AW73" s="42"/>
      <c r="AX73" s="42"/>
      <c r="AY73" s="42"/>
      <c r="AZ73" s="42"/>
      <c r="BA73" s="42"/>
      <c r="BB73" s="42"/>
      <c r="BC73" s="42"/>
      <c r="BD73" s="42"/>
      <c r="BE73" s="42"/>
      <c r="BH73" s="31" t="s">
        <v>2263</v>
      </c>
      <c r="BI73" s="31" t="s">
        <v>2248</v>
      </c>
      <c r="BJ73" s="31" t="s">
        <v>12</v>
      </c>
    </row>
    <row r="74" spans="1:62" ht="26" hidden="1" x14ac:dyDescent="0.35">
      <c r="A74" s="199" t="s">
        <v>2639</v>
      </c>
      <c r="B74" s="199" t="s">
        <v>2649</v>
      </c>
      <c r="C74" s="200" t="s">
        <v>86</v>
      </c>
      <c r="D74" s="200" t="s">
        <v>5</v>
      </c>
      <c r="E74" s="200">
        <v>600</v>
      </c>
      <c r="F74" s="201" t="s">
        <v>1415</v>
      </c>
      <c r="G74" s="189"/>
      <c r="H74" s="190"/>
      <c r="I74" s="191"/>
      <c r="J74" s="192"/>
      <c r="K74" s="193"/>
      <c r="L74" s="41"/>
      <c r="M74" s="165"/>
      <c r="N74" s="134"/>
      <c r="O74" s="45"/>
      <c r="P74" s="130"/>
      <c r="Q74" s="45"/>
      <c r="R74" s="136"/>
      <c r="S74" s="139"/>
      <c r="T74" s="136"/>
      <c r="U74" s="139"/>
      <c r="V74" s="45"/>
      <c r="W74" s="136"/>
      <c r="X74" s="134"/>
      <c r="Y74" s="166"/>
      <c r="Z74" s="126"/>
      <c r="AA74" s="130"/>
      <c r="AB74" s="126"/>
      <c r="AC74" s="130"/>
      <c r="AD74" s="126"/>
      <c r="AE74" s="130"/>
      <c r="AF74" s="126"/>
      <c r="AG74" s="43"/>
      <c r="AH74" s="44"/>
      <c r="AI74" s="45"/>
      <c r="AJ74" s="46"/>
      <c r="AK74" s="41">
        <v>2</v>
      </c>
      <c r="AL74" s="47"/>
      <c r="AM74" s="48"/>
      <c r="AN74" s="111"/>
      <c r="AO74" s="42"/>
      <c r="AP74" s="42"/>
      <c r="AQ74" s="115"/>
      <c r="AR74" s="75"/>
      <c r="AS74" s="40">
        <f t="shared" si="6"/>
        <v>2</v>
      </c>
      <c r="AW74" s="42"/>
      <c r="AX74" s="42"/>
      <c r="AY74" s="42"/>
      <c r="AZ74" s="42"/>
      <c r="BA74" s="42"/>
      <c r="BB74" s="42"/>
      <c r="BC74" s="42"/>
      <c r="BD74" s="42"/>
      <c r="BE74" s="42"/>
      <c r="BH74" s="31" t="s">
        <v>2252</v>
      </c>
      <c r="BI74" s="31" t="s">
        <v>2248</v>
      </c>
    </row>
    <row r="75" spans="1:62" hidden="1" x14ac:dyDescent="0.35">
      <c r="A75" s="199" t="s">
        <v>2639</v>
      </c>
      <c r="B75" s="199" t="s">
        <v>2649</v>
      </c>
      <c r="C75" s="200" t="s">
        <v>1852</v>
      </c>
      <c r="D75" s="200" t="s">
        <v>5</v>
      </c>
      <c r="E75" s="200">
        <v>600</v>
      </c>
      <c r="F75" s="200" t="s">
        <v>1853</v>
      </c>
      <c r="G75" s="189"/>
      <c r="H75" s="190"/>
      <c r="I75" s="191"/>
      <c r="J75" s="192"/>
      <c r="K75" s="193"/>
      <c r="L75" s="41"/>
      <c r="M75" s="165"/>
      <c r="N75" s="134"/>
      <c r="O75" s="45"/>
      <c r="P75" s="130"/>
      <c r="Q75" s="45"/>
      <c r="R75" s="136"/>
      <c r="S75" s="139"/>
      <c r="T75" s="136"/>
      <c r="U75" s="139"/>
      <c r="V75" s="45"/>
      <c r="W75" s="136"/>
      <c r="X75" s="134"/>
      <c r="Y75" s="166"/>
      <c r="Z75" s="126"/>
      <c r="AA75" s="130"/>
      <c r="AB75" s="126"/>
      <c r="AC75" s="130"/>
      <c r="AD75" s="126"/>
      <c r="AE75" s="130"/>
      <c r="AF75" s="126"/>
      <c r="AG75" s="43"/>
      <c r="AH75" s="44"/>
      <c r="AI75" s="45"/>
      <c r="AJ75" s="46"/>
      <c r="AK75" s="41">
        <v>2</v>
      </c>
      <c r="AL75" s="47"/>
      <c r="AM75" s="48"/>
      <c r="AN75" s="111"/>
      <c r="AO75" s="42"/>
      <c r="AP75" s="42"/>
      <c r="AQ75" s="115"/>
      <c r="AR75" s="75"/>
      <c r="AS75" s="40">
        <f t="shared" si="6"/>
        <v>2</v>
      </c>
      <c r="AW75" s="42"/>
      <c r="AX75" s="42"/>
      <c r="AY75" s="42"/>
      <c r="AZ75" s="42"/>
      <c r="BA75" s="42"/>
      <c r="BB75" s="42"/>
      <c r="BC75" s="42"/>
      <c r="BD75" s="42"/>
      <c r="BE75" s="42"/>
      <c r="BH75" s="31" t="s">
        <v>2252</v>
      </c>
      <c r="BI75" s="31" t="s">
        <v>2248</v>
      </c>
    </row>
    <row r="76" spans="1:62" ht="26" hidden="1" x14ac:dyDescent="0.35">
      <c r="A76" s="199" t="s">
        <v>2639</v>
      </c>
      <c r="B76" s="199" t="s">
        <v>2649</v>
      </c>
      <c r="C76" s="200" t="s">
        <v>82</v>
      </c>
      <c r="D76" s="200" t="s">
        <v>5</v>
      </c>
      <c r="E76" s="200">
        <v>800</v>
      </c>
      <c r="F76" s="200" t="s">
        <v>83</v>
      </c>
      <c r="G76" s="85"/>
      <c r="H76" s="86"/>
      <c r="I76" s="87"/>
      <c r="J76" s="88"/>
      <c r="K76" s="89"/>
      <c r="L76" s="90"/>
      <c r="M76" s="165"/>
      <c r="N76" s="134"/>
      <c r="O76" s="45"/>
      <c r="P76" s="130"/>
      <c r="Q76" s="45"/>
      <c r="R76" s="136"/>
      <c r="S76" s="139"/>
      <c r="T76" s="136"/>
      <c r="U76" s="139"/>
      <c r="V76" s="45"/>
      <c r="W76" s="136"/>
      <c r="X76" s="134"/>
      <c r="Y76" s="166"/>
      <c r="Z76" s="126"/>
      <c r="AA76" s="130"/>
      <c r="AB76" s="126"/>
      <c r="AC76" s="130"/>
      <c r="AD76" s="126"/>
      <c r="AE76" s="130"/>
      <c r="AF76" s="126"/>
      <c r="AG76" s="43"/>
      <c r="AH76" s="44"/>
      <c r="AI76" s="45"/>
      <c r="AJ76" s="46"/>
      <c r="AK76" s="41">
        <v>1</v>
      </c>
      <c r="AL76" s="47"/>
      <c r="AM76" s="48"/>
      <c r="AN76" s="111"/>
      <c r="AO76" s="42"/>
      <c r="AP76" s="42"/>
      <c r="AQ76" s="115"/>
      <c r="AR76" s="75"/>
      <c r="AS76" s="40">
        <f t="shared" si="6"/>
        <v>1</v>
      </c>
      <c r="AW76" s="42"/>
      <c r="AX76" s="42"/>
      <c r="AY76" s="42"/>
      <c r="AZ76" s="42"/>
      <c r="BA76" s="42"/>
      <c r="BB76" s="42"/>
      <c r="BC76" s="42"/>
      <c r="BD76" s="42"/>
      <c r="BE76" s="42"/>
      <c r="BH76" s="31" t="s">
        <v>2252</v>
      </c>
      <c r="BI76" s="31" t="s">
        <v>2248</v>
      </c>
    </row>
    <row r="77" spans="1:62" ht="26" hidden="1" x14ac:dyDescent="0.35">
      <c r="A77" s="199" t="s">
        <v>2639</v>
      </c>
      <c r="B77" s="199" t="s">
        <v>2649</v>
      </c>
      <c r="C77" s="200" t="s">
        <v>80</v>
      </c>
      <c r="D77" s="200" t="s">
        <v>5</v>
      </c>
      <c r="E77" s="200">
        <v>600</v>
      </c>
      <c r="F77" s="200" t="s">
        <v>81</v>
      </c>
      <c r="G77" s="189"/>
      <c r="H77" s="190"/>
      <c r="I77" s="191"/>
      <c r="J77" s="192"/>
      <c r="K77" s="193"/>
      <c r="L77" s="41"/>
      <c r="M77" s="165"/>
      <c r="N77" s="134"/>
      <c r="O77" s="45"/>
      <c r="P77" s="130"/>
      <c r="Q77" s="45"/>
      <c r="R77" s="136"/>
      <c r="S77" s="139"/>
      <c r="T77" s="136"/>
      <c r="U77" s="139"/>
      <c r="V77" s="45"/>
      <c r="W77" s="136"/>
      <c r="X77" s="134"/>
      <c r="Y77" s="166"/>
      <c r="Z77" s="126"/>
      <c r="AA77" s="130"/>
      <c r="AB77" s="126"/>
      <c r="AC77" s="130"/>
      <c r="AD77" s="126"/>
      <c r="AE77" s="130"/>
      <c r="AF77" s="126"/>
      <c r="AG77" s="43"/>
      <c r="AH77" s="44"/>
      <c r="AI77" s="45"/>
      <c r="AJ77" s="46"/>
      <c r="AK77" s="41">
        <v>2</v>
      </c>
      <c r="AL77" s="47"/>
      <c r="AM77" s="48"/>
      <c r="AN77" s="111"/>
      <c r="AO77" s="42"/>
      <c r="AP77" s="42"/>
      <c r="AQ77" s="115"/>
      <c r="AR77" s="75"/>
      <c r="AS77" s="40">
        <f t="shared" si="6"/>
        <v>2</v>
      </c>
      <c r="AW77" s="42"/>
      <c r="AX77" s="42"/>
      <c r="AY77" s="42"/>
      <c r="AZ77" s="42"/>
      <c r="BA77" s="42"/>
      <c r="BB77" s="42"/>
      <c r="BC77" s="42"/>
      <c r="BD77" s="42"/>
      <c r="BE77" s="42"/>
      <c r="BH77" s="31" t="s">
        <v>2252</v>
      </c>
      <c r="BI77" s="31" t="s">
        <v>2248</v>
      </c>
    </row>
    <row r="78" spans="1:62" hidden="1" x14ac:dyDescent="0.35">
      <c r="A78" s="199" t="s">
        <v>2639</v>
      </c>
      <c r="B78" s="199" t="s">
        <v>2649</v>
      </c>
      <c r="C78" s="200" t="s">
        <v>113</v>
      </c>
      <c r="D78" s="200" t="s">
        <v>5</v>
      </c>
      <c r="E78" s="200">
        <v>1600</v>
      </c>
      <c r="F78" s="200" t="s">
        <v>114</v>
      </c>
      <c r="G78" s="85"/>
      <c r="H78" s="86"/>
      <c r="I78" s="87"/>
      <c r="J78" s="88"/>
      <c r="K78" s="89"/>
      <c r="L78" s="90"/>
      <c r="M78" s="165"/>
      <c r="N78" s="134"/>
      <c r="O78" s="45"/>
      <c r="P78" s="130"/>
      <c r="Q78" s="45"/>
      <c r="R78" s="136"/>
      <c r="S78" s="139"/>
      <c r="T78" s="136"/>
      <c r="U78" s="139"/>
      <c r="V78" s="45"/>
      <c r="W78" s="136"/>
      <c r="X78" s="134"/>
      <c r="Y78" s="166"/>
      <c r="Z78" s="126"/>
      <c r="AA78" s="130"/>
      <c r="AB78" s="126"/>
      <c r="AC78" s="130"/>
      <c r="AD78" s="126"/>
      <c r="AE78" s="130"/>
      <c r="AF78" s="126"/>
      <c r="AG78" s="43"/>
      <c r="AH78" s="44"/>
      <c r="AI78" s="45"/>
      <c r="AJ78" s="46">
        <v>2</v>
      </c>
      <c r="AK78" s="41"/>
      <c r="AL78" s="47"/>
      <c r="AM78" s="48"/>
      <c r="AN78" s="111"/>
      <c r="AO78" s="42"/>
      <c r="AP78" s="42"/>
      <c r="AQ78" s="115"/>
      <c r="AR78" s="75"/>
      <c r="AS78" s="40">
        <f t="shared" si="6"/>
        <v>2</v>
      </c>
      <c r="AW78" s="42"/>
      <c r="AX78" s="42"/>
      <c r="AY78" s="42"/>
      <c r="AZ78" s="42"/>
      <c r="BA78" s="42"/>
      <c r="BB78" s="42"/>
      <c r="BC78" s="42"/>
      <c r="BD78" s="42"/>
      <c r="BE78" s="42"/>
      <c r="BH78" s="31" t="s">
        <v>2256</v>
      </c>
      <c r="BI78" s="31" t="s">
        <v>2248</v>
      </c>
    </row>
    <row r="79" spans="1:62" ht="26" hidden="1" x14ac:dyDescent="0.35">
      <c r="A79" s="199" t="s">
        <v>2639</v>
      </c>
      <c r="B79" s="199" t="s">
        <v>2649</v>
      </c>
      <c r="C79" s="200" t="s">
        <v>109</v>
      </c>
      <c r="D79" s="200" t="s">
        <v>5</v>
      </c>
      <c r="E79" s="200">
        <v>1000</v>
      </c>
      <c r="F79" s="201" t="s">
        <v>110</v>
      </c>
      <c r="G79" s="85"/>
      <c r="H79" s="86"/>
      <c r="I79" s="87"/>
      <c r="J79" s="88"/>
      <c r="K79" s="89"/>
      <c r="L79" s="90"/>
      <c r="M79" s="165"/>
      <c r="N79" s="134"/>
      <c r="O79" s="45"/>
      <c r="P79" s="130"/>
      <c r="Q79" s="45"/>
      <c r="R79" s="136"/>
      <c r="S79" s="139"/>
      <c r="T79" s="136"/>
      <c r="U79" s="139"/>
      <c r="V79" s="45"/>
      <c r="W79" s="136"/>
      <c r="X79" s="134"/>
      <c r="Y79" s="166"/>
      <c r="Z79" s="126"/>
      <c r="AA79" s="130"/>
      <c r="AB79" s="126"/>
      <c r="AC79" s="130"/>
      <c r="AD79" s="126"/>
      <c r="AE79" s="130"/>
      <c r="AF79" s="126"/>
      <c r="AG79" s="43"/>
      <c r="AH79" s="44"/>
      <c r="AI79" s="45"/>
      <c r="AJ79" s="46">
        <v>1</v>
      </c>
      <c r="AK79" s="41"/>
      <c r="AL79" s="47"/>
      <c r="AM79" s="48"/>
      <c r="AN79" s="111"/>
      <c r="AO79" s="42"/>
      <c r="AP79" s="42"/>
      <c r="AQ79" s="115"/>
      <c r="AR79" s="75"/>
      <c r="AS79" s="40">
        <f t="shared" si="6"/>
        <v>1</v>
      </c>
      <c r="AW79" s="42"/>
      <c r="AX79" s="42"/>
      <c r="AY79" s="42"/>
      <c r="AZ79" s="42"/>
      <c r="BA79" s="42"/>
      <c r="BB79" s="42"/>
      <c r="BC79" s="42"/>
      <c r="BD79" s="42"/>
      <c r="BE79" s="42"/>
      <c r="BH79" s="31" t="s">
        <v>2256</v>
      </c>
      <c r="BI79" s="31" t="s">
        <v>2248</v>
      </c>
    </row>
    <row r="80" spans="1:62" ht="26" hidden="1" x14ac:dyDescent="0.35">
      <c r="A80" s="199" t="s">
        <v>2639</v>
      </c>
      <c r="B80" s="199" t="s">
        <v>2649</v>
      </c>
      <c r="C80" s="200" t="s">
        <v>84</v>
      </c>
      <c r="D80" s="200" t="s">
        <v>5</v>
      </c>
      <c r="E80" s="200">
        <v>1600</v>
      </c>
      <c r="F80" s="200" t="s">
        <v>85</v>
      </c>
      <c r="G80" s="85"/>
      <c r="H80" s="86"/>
      <c r="I80" s="87"/>
      <c r="J80" s="88"/>
      <c r="K80" s="89"/>
      <c r="L80" s="90"/>
      <c r="M80" s="165"/>
      <c r="N80" s="134"/>
      <c r="O80" s="45"/>
      <c r="P80" s="130"/>
      <c r="Q80" s="45"/>
      <c r="R80" s="136"/>
      <c r="S80" s="139"/>
      <c r="T80" s="136"/>
      <c r="U80" s="139"/>
      <c r="V80" s="45"/>
      <c r="W80" s="136"/>
      <c r="X80" s="134"/>
      <c r="Y80" s="166"/>
      <c r="Z80" s="126"/>
      <c r="AA80" s="130"/>
      <c r="AB80" s="126"/>
      <c r="AC80" s="130"/>
      <c r="AD80" s="126"/>
      <c r="AE80" s="130"/>
      <c r="AF80" s="126"/>
      <c r="AG80" s="43"/>
      <c r="AH80" s="44"/>
      <c r="AI80" s="45"/>
      <c r="AJ80" s="46"/>
      <c r="AK80" s="41">
        <v>1</v>
      </c>
      <c r="AL80" s="47"/>
      <c r="AM80" s="48"/>
      <c r="AN80" s="111"/>
      <c r="AO80" s="42"/>
      <c r="AP80" s="42"/>
      <c r="AQ80" s="115"/>
      <c r="AR80" s="75"/>
      <c r="AS80" s="40">
        <f t="shared" si="6"/>
        <v>1</v>
      </c>
      <c r="AW80" s="42"/>
      <c r="AX80" s="42"/>
      <c r="AY80" s="42"/>
      <c r="AZ80" s="42"/>
      <c r="BA80" s="42"/>
      <c r="BB80" s="42"/>
      <c r="BC80" s="42"/>
      <c r="BD80" s="42"/>
      <c r="BE80" s="42"/>
      <c r="BH80" s="31" t="s">
        <v>2252</v>
      </c>
      <c r="BI80" s="31" t="s">
        <v>2248</v>
      </c>
    </row>
    <row r="81" spans="1:62" ht="26" hidden="1" x14ac:dyDescent="0.35">
      <c r="A81" s="199" t="s">
        <v>2639</v>
      </c>
      <c r="B81" s="199" t="s">
        <v>2649</v>
      </c>
      <c r="C81" s="200" t="s">
        <v>111</v>
      </c>
      <c r="D81" s="200" t="s">
        <v>5</v>
      </c>
      <c r="E81" s="200">
        <v>600</v>
      </c>
      <c r="F81" s="200" t="s">
        <v>112</v>
      </c>
      <c r="G81" s="189"/>
      <c r="H81" s="190"/>
      <c r="I81" s="191"/>
      <c r="J81" s="192"/>
      <c r="K81" s="193"/>
      <c r="L81" s="41"/>
      <c r="M81" s="165"/>
      <c r="N81" s="134"/>
      <c r="O81" s="45"/>
      <c r="P81" s="130"/>
      <c r="Q81" s="45"/>
      <c r="R81" s="136"/>
      <c r="S81" s="139"/>
      <c r="T81" s="136"/>
      <c r="U81" s="139"/>
      <c r="V81" s="45"/>
      <c r="W81" s="136"/>
      <c r="X81" s="134"/>
      <c r="Y81" s="166"/>
      <c r="Z81" s="126"/>
      <c r="AA81" s="130"/>
      <c r="AB81" s="126"/>
      <c r="AC81" s="130" t="s">
        <v>12</v>
      </c>
      <c r="AD81" s="126"/>
      <c r="AE81" s="130"/>
      <c r="AF81" s="126"/>
      <c r="AG81" s="43"/>
      <c r="AH81" s="44"/>
      <c r="AI81" s="45"/>
      <c r="AJ81" s="46">
        <v>2</v>
      </c>
      <c r="AK81" s="41"/>
      <c r="AL81" s="47"/>
      <c r="AM81" s="48"/>
      <c r="AN81" s="111"/>
      <c r="AO81" s="42"/>
      <c r="AP81" s="42"/>
      <c r="AQ81" s="115"/>
      <c r="AR81" s="75"/>
      <c r="AS81" s="40">
        <f t="shared" si="6"/>
        <v>2</v>
      </c>
      <c r="AW81" s="42"/>
      <c r="AX81" s="42"/>
      <c r="AY81" s="42"/>
      <c r="AZ81" s="42"/>
      <c r="BA81" s="42"/>
      <c r="BB81" s="42"/>
      <c r="BC81" s="42"/>
      <c r="BD81" s="42"/>
      <c r="BE81" s="42"/>
      <c r="BH81" s="31" t="s">
        <v>2256</v>
      </c>
      <c r="BI81" s="31" t="s">
        <v>2248</v>
      </c>
    </row>
    <row r="82" spans="1:62" hidden="1" x14ac:dyDescent="0.35">
      <c r="A82" s="199" t="s">
        <v>2639</v>
      </c>
      <c r="B82" s="199" t="s">
        <v>2057</v>
      </c>
      <c r="C82" s="200" t="s">
        <v>586</v>
      </c>
      <c r="D82" s="200" t="s">
        <v>8</v>
      </c>
      <c r="E82" s="200">
        <v>300</v>
      </c>
      <c r="F82" s="200" t="s">
        <v>588</v>
      </c>
      <c r="G82" s="85"/>
      <c r="H82" s="86">
        <v>1</v>
      </c>
      <c r="I82" s="87">
        <v>1</v>
      </c>
      <c r="J82" s="88"/>
      <c r="K82" s="89"/>
      <c r="L82" s="90"/>
      <c r="M82" s="165"/>
      <c r="N82" s="134"/>
      <c r="O82" s="45"/>
      <c r="P82" s="130" t="s">
        <v>12</v>
      </c>
      <c r="Q82" s="45"/>
      <c r="R82" s="136"/>
      <c r="S82" s="139"/>
      <c r="T82" s="136"/>
      <c r="U82" s="139"/>
      <c r="V82" s="45"/>
      <c r="W82" s="136"/>
      <c r="X82" s="134"/>
      <c r="Y82" s="166"/>
      <c r="Z82" s="126"/>
      <c r="AA82" s="130"/>
      <c r="AB82" s="126"/>
      <c r="AC82" s="130"/>
      <c r="AD82" s="126"/>
      <c r="AE82" s="130"/>
      <c r="AF82" s="126"/>
      <c r="AG82" s="43"/>
      <c r="AH82" s="44">
        <v>1</v>
      </c>
      <c r="AI82" s="45"/>
      <c r="AJ82" s="46"/>
      <c r="AK82" s="41"/>
      <c r="AL82" s="47"/>
      <c r="AM82" s="48"/>
      <c r="AN82" s="111"/>
      <c r="AO82" s="42"/>
      <c r="AP82" s="42"/>
      <c r="AQ82" s="115"/>
      <c r="AR82" s="75"/>
      <c r="AS82" s="40">
        <f t="shared" si="6"/>
        <v>1</v>
      </c>
      <c r="AT82" s="31" t="s">
        <v>1740</v>
      </c>
      <c r="AW82" s="42">
        <f t="shared" ref="AW82:AW88" si="7">SUM(E82-(AX82*100))</f>
        <v>0</v>
      </c>
      <c r="AX82" s="42">
        <f t="shared" ref="AX82:AX88" si="8">SUM(AY82:BE82)</f>
        <v>3</v>
      </c>
      <c r="AY82" s="42">
        <f t="shared" ref="AY82:AY88" si="9">SUM(G82:I82)</f>
        <v>2</v>
      </c>
      <c r="AZ82" s="42">
        <f t="shared" ref="AZ82:AZ88" si="10">SUM(0-COUNTA(J82:L82))</f>
        <v>0</v>
      </c>
      <c r="BA82" s="42">
        <f>COUNTA(#REF!)</f>
        <v>1</v>
      </c>
      <c r="BB82" s="42">
        <f t="shared" ref="BB82:BB88" si="11">COUNTA(Z82:AF82)</f>
        <v>0</v>
      </c>
      <c r="BC82" s="42"/>
      <c r="BD82" s="42"/>
      <c r="BE82" s="42">
        <v>0</v>
      </c>
    </row>
    <row r="83" spans="1:62" ht="26" hidden="1" x14ac:dyDescent="0.35">
      <c r="A83" s="199" t="s">
        <v>2639</v>
      </c>
      <c r="B83" s="199" t="s">
        <v>2057</v>
      </c>
      <c r="C83" s="200" t="s">
        <v>591</v>
      </c>
      <c r="D83" s="200" t="s">
        <v>8</v>
      </c>
      <c r="E83" s="200">
        <v>0</v>
      </c>
      <c r="F83" s="200" t="s">
        <v>593</v>
      </c>
      <c r="G83" s="85"/>
      <c r="H83" s="86"/>
      <c r="I83" s="87">
        <v>2</v>
      </c>
      <c r="J83" s="88" t="s">
        <v>12</v>
      </c>
      <c r="K83" s="89"/>
      <c r="L83" s="90"/>
      <c r="M83" s="165"/>
      <c r="N83" s="134"/>
      <c r="O83" s="45"/>
      <c r="P83" s="130"/>
      <c r="Q83" s="45" t="s">
        <v>12</v>
      </c>
      <c r="R83" s="136"/>
      <c r="S83" s="139"/>
      <c r="T83" s="136"/>
      <c r="U83" s="139"/>
      <c r="V83" s="45"/>
      <c r="W83" s="136"/>
      <c r="X83" s="134"/>
      <c r="Y83" s="166"/>
      <c r="Z83" s="126"/>
      <c r="AA83" s="130"/>
      <c r="AB83" s="126"/>
      <c r="AC83" s="130"/>
      <c r="AD83" s="126"/>
      <c r="AE83" s="130"/>
      <c r="AF83" s="126"/>
      <c r="AG83" s="43"/>
      <c r="AH83" s="44"/>
      <c r="AI83" s="45">
        <v>1</v>
      </c>
      <c r="AJ83" s="46"/>
      <c r="AK83" s="41"/>
      <c r="AL83" s="47"/>
      <c r="AM83" s="48"/>
      <c r="AN83" s="111"/>
      <c r="AO83" s="42"/>
      <c r="AP83" s="42"/>
      <c r="AQ83" s="115"/>
      <c r="AR83" s="75"/>
      <c r="AS83" s="40">
        <f t="shared" si="6"/>
        <v>1</v>
      </c>
      <c r="AT83" s="31" t="s">
        <v>1744</v>
      </c>
      <c r="AW83" s="42">
        <f t="shared" si="7"/>
        <v>0</v>
      </c>
      <c r="AX83" s="42">
        <f t="shared" si="8"/>
        <v>0</v>
      </c>
      <c r="AY83" s="42">
        <f t="shared" si="9"/>
        <v>2</v>
      </c>
      <c r="AZ83" s="42">
        <f t="shared" si="10"/>
        <v>-1</v>
      </c>
      <c r="BA83" s="42">
        <f>COUNTA(#REF!)</f>
        <v>1</v>
      </c>
      <c r="BB83" s="42">
        <f t="shared" si="11"/>
        <v>0</v>
      </c>
      <c r="BC83" s="42"/>
      <c r="BD83" s="42"/>
      <c r="BE83" s="42">
        <v>-2</v>
      </c>
    </row>
    <row r="84" spans="1:62" ht="26" hidden="1" x14ac:dyDescent="0.35">
      <c r="A84" s="199" t="s">
        <v>2639</v>
      </c>
      <c r="B84" s="199" t="s">
        <v>2057</v>
      </c>
      <c r="C84" s="200" t="s">
        <v>592</v>
      </c>
      <c r="D84" s="200" t="s">
        <v>8</v>
      </c>
      <c r="E84" s="200">
        <v>300</v>
      </c>
      <c r="F84" s="200" t="s">
        <v>1887</v>
      </c>
      <c r="G84" s="85">
        <v>2</v>
      </c>
      <c r="H84" s="86"/>
      <c r="I84" s="87"/>
      <c r="J84" s="88"/>
      <c r="K84" s="89"/>
      <c r="L84" s="90"/>
      <c r="M84" s="165"/>
      <c r="N84" s="134"/>
      <c r="O84" s="45" t="s">
        <v>12</v>
      </c>
      <c r="P84" s="130"/>
      <c r="Q84" s="45"/>
      <c r="R84" s="136"/>
      <c r="S84" s="139"/>
      <c r="T84" s="136"/>
      <c r="U84" s="139"/>
      <c r="V84" s="45"/>
      <c r="W84" s="136"/>
      <c r="X84" s="134"/>
      <c r="Y84" s="166"/>
      <c r="Z84" s="126"/>
      <c r="AA84" s="130"/>
      <c r="AB84" s="126"/>
      <c r="AC84" s="130"/>
      <c r="AD84" s="126"/>
      <c r="AE84" s="130"/>
      <c r="AF84" s="126"/>
      <c r="AG84" s="43"/>
      <c r="AH84" s="44"/>
      <c r="AI84" s="45">
        <v>1</v>
      </c>
      <c r="AJ84" s="46"/>
      <c r="AK84" s="41"/>
      <c r="AL84" s="47"/>
      <c r="AM84" s="48"/>
      <c r="AN84" s="111"/>
      <c r="AO84" s="42"/>
      <c r="AP84" s="42"/>
      <c r="AQ84" s="115"/>
      <c r="AR84" s="75"/>
      <c r="AS84" s="40">
        <f t="shared" si="6"/>
        <v>1</v>
      </c>
      <c r="AT84" s="31" t="s">
        <v>1754</v>
      </c>
      <c r="AW84" s="42">
        <f t="shared" si="7"/>
        <v>-100</v>
      </c>
      <c r="AX84" s="42">
        <f t="shared" si="8"/>
        <v>4</v>
      </c>
      <c r="AY84" s="42">
        <f t="shared" si="9"/>
        <v>2</v>
      </c>
      <c r="AZ84" s="42">
        <f t="shared" si="10"/>
        <v>0</v>
      </c>
      <c r="BA84" s="42">
        <f>COUNTA(#REF!)</f>
        <v>1</v>
      </c>
      <c r="BB84" s="42">
        <f t="shared" si="11"/>
        <v>0</v>
      </c>
      <c r="BC84" s="42">
        <v>1</v>
      </c>
      <c r="BD84" s="42">
        <v>-1</v>
      </c>
      <c r="BE84" s="42">
        <v>1</v>
      </c>
    </row>
    <row r="85" spans="1:62" hidden="1" x14ac:dyDescent="0.35">
      <c r="A85" s="199" t="s">
        <v>2639</v>
      </c>
      <c r="B85" s="199" t="s">
        <v>2057</v>
      </c>
      <c r="C85" s="200" t="s">
        <v>566</v>
      </c>
      <c r="D85" s="200" t="s">
        <v>8</v>
      </c>
      <c r="E85" s="200">
        <v>200</v>
      </c>
      <c r="F85" s="200" t="s">
        <v>567</v>
      </c>
      <c r="G85" s="85"/>
      <c r="H85" s="86">
        <v>1</v>
      </c>
      <c r="I85" s="87"/>
      <c r="J85" s="88" t="s">
        <v>12</v>
      </c>
      <c r="K85" s="89"/>
      <c r="L85" s="90"/>
      <c r="M85" s="165"/>
      <c r="N85" s="134"/>
      <c r="O85" s="45"/>
      <c r="P85" s="130"/>
      <c r="Q85" s="45"/>
      <c r="R85" s="136"/>
      <c r="S85" s="139"/>
      <c r="T85" s="136"/>
      <c r="U85" s="139" t="s">
        <v>12</v>
      </c>
      <c r="V85" s="45"/>
      <c r="W85" s="136"/>
      <c r="X85" s="134"/>
      <c r="Y85" s="166"/>
      <c r="Z85" s="126"/>
      <c r="AA85" s="130"/>
      <c r="AB85" s="126"/>
      <c r="AC85" s="130"/>
      <c r="AD85" s="126"/>
      <c r="AE85" s="130"/>
      <c r="AF85" s="126"/>
      <c r="AG85" s="43"/>
      <c r="AH85" s="44"/>
      <c r="AI85" s="45"/>
      <c r="AJ85" s="46"/>
      <c r="AK85" s="41">
        <v>2</v>
      </c>
      <c r="AL85" s="47"/>
      <c r="AM85" s="48"/>
      <c r="AN85" s="111"/>
      <c r="AO85" s="42"/>
      <c r="AP85" s="42"/>
      <c r="AQ85" s="115"/>
      <c r="AR85" s="75"/>
      <c r="AS85" s="40">
        <f t="shared" si="6"/>
        <v>2</v>
      </c>
      <c r="AT85" s="31" t="s">
        <v>1753</v>
      </c>
      <c r="AW85" s="42">
        <f t="shared" si="7"/>
        <v>0</v>
      </c>
      <c r="AX85" s="42">
        <f t="shared" si="8"/>
        <v>2</v>
      </c>
      <c r="AY85" s="42">
        <f t="shared" si="9"/>
        <v>1</v>
      </c>
      <c r="AZ85" s="42">
        <f t="shared" si="10"/>
        <v>-1</v>
      </c>
      <c r="BA85" s="42">
        <f>COUNTA(#REF!)</f>
        <v>1</v>
      </c>
      <c r="BB85" s="42">
        <f t="shared" si="11"/>
        <v>0</v>
      </c>
      <c r="BC85" s="42"/>
      <c r="BD85" s="42"/>
      <c r="BE85" s="42">
        <v>1</v>
      </c>
    </row>
    <row r="86" spans="1:62" ht="26" hidden="1" x14ac:dyDescent="0.35">
      <c r="A86" s="199" t="s">
        <v>2639</v>
      </c>
      <c r="B86" s="199" t="s">
        <v>2057</v>
      </c>
      <c r="C86" s="200" t="s">
        <v>594</v>
      </c>
      <c r="D86" s="200" t="s">
        <v>8</v>
      </c>
      <c r="E86" s="200">
        <v>200</v>
      </c>
      <c r="F86" s="200" t="s">
        <v>595</v>
      </c>
      <c r="G86" s="85"/>
      <c r="H86" s="86">
        <v>1</v>
      </c>
      <c r="I86" s="87">
        <v>1</v>
      </c>
      <c r="J86" s="88"/>
      <c r="K86" s="89"/>
      <c r="L86" s="90"/>
      <c r="M86" s="165"/>
      <c r="N86" s="134"/>
      <c r="O86" s="45"/>
      <c r="P86" s="130"/>
      <c r="Q86" s="45"/>
      <c r="R86" s="136"/>
      <c r="S86" s="139"/>
      <c r="T86" s="136"/>
      <c r="U86" s="139"/>
      <c r="V86" s="45"/>
      <c r="W86" s="136"/>
      <c r="X86" s="134"/>
      <c r="Y86" s="166"/>
      <c r="Z86" s="126"/>
      <c r="AA86" s="130"/>
      <c r="AB86" s="126"/>
      <c r="AC86" s="130"/>
      <c r="AD86" s="126"/>
      <c r="AE86" s="130"/>
      <c r="AF86" s="126"/>
      <c r="AG86" s="43">
        <v>2</v>
      </c>
      <c r="AH86" s="44"/>
      <c r="AI86" s="45"/>
      <c r="AJ86" s="46"/>
      <c r="AK86" s="41"/>
      <c r="AL86" s="47"/>
      <c r="AM86" s="48"/>
      <c r="AN86" s="111"/>
      <c r="AO86" s="42"/>
      <c r="AP86" s="42"/>
      <c r="AQ86" s="115"/>
      <c r="AR86" s="75"/>
      <c r="AS86" s="40">
        <f t="shared" si="6"/>
        <v>2</v>
      </c>
      <c r="AT86" s="31" t="s">
        <v>1746</v>
      </c>
      <c r="AW86" s="42">
        <f t="shared" si="7"/>
        <v>-100</v>
      </c>
      <c r="AX86" s="42">
        <f t="shared" si="8"/>
        <v>3</v>
      </c>
      <c r="AY86" s="42">
        <f t="shared" si="9"/>
        <v>2</v>
      </c>
      <c r="AZ86" s="42">
        <f t="shared" si="10"/>
        <v>0</v>
      </c>
      <c r="BA86" s="42">
        <f>COUNTA(#REF!)</f>
        <v>1</v>
      </c>
      <c r="BB86" s="42">
        <f t="shared" si="11"/>
        <v>0</v>
      </c>
      <c r="BC86" s="42"/>
      <c r="BD86" s="42"/>
      <c r="BE86" s="42">
        <v>0</v>
      </c>
    </row>
    <row r="87" spans="1:62" hidden="1" x14ac:dyDescent="0.35">
      <c r="A87" s="199" t="s">
        <v>2639</v>
      </c>
      <c r="B87" s="199" t="s">
        <v>2057</v>
      </c>
      <c r="C87" s="200" t="s">
        <v>585</v>
      </c>
      <c r="D87" s="200" t="s">
        <v>8</v>
      </c>
      <c r="E87" s="200">
        <v>300</v>
      </c>
      <c r="F87" s="200" t="s">
        <v>587</v>
      </c>
      <c r="G87" s="85"/>
      <c r="H87" s="86">
        <v>1</v>
      </c>
      <c r="I87" s="87">
        <v>1</v>
      </c>
      <c r="J87" s="88"/>
      <c r="K87" s="89"/>
      <c r="L87" s="90" t="s">
        <v>12</v>
      </c>
      <c r="M87" s="165"/>
      <c r="N87" s="134"/>
      <c r="O87" s="45"/>
      <c r="P87" s="130" t="s">
        <v>12</v>
      </c>
      <c r="Q87" s="45"/>
      <c r="R87" s="136"/>
      <c r="S87" s="139"/>
      <c r="T87" s="136"/>
      <c r="U87" s="139"/>
      <c r="V87" s="45"/>
      <c r="W87" s="136"/>
      <c r="X87" s="134"/>
      <c r="Y87" s="166"/>
      <c r="Z87" s="126" t="s">
        <v>12</v>
      </c>
      <c r="AA87" s="130"/>
      <c r="AB87" s="126"/>
      <c r="AC87" s="130"/>
      <c r="AD87" s="126"/>
      <c r="AE87" s="130"/>
      <c r="AF87" s="126"/>
      <c r="AG87" s="43"/>
      <c r="AH87" s="44">
        <v>1</v>
      </c>
      <c r="AI87" s="45"/>
      <c r="AJ87" s="46"/>
      <c r="AK87" s="41"/>
      <c r="AL87" s="47"/>
      <c r="AM87" s="48"/>
      <c r="AN87" s="111"/>
      <c r="AO87" s="42"/>
      <c r="AP87" s="42"/>
      <c r="AQ87" s="115"/>
      <c r="AR87" s="75"/>
      <c r="AS87" s="40">
        <f t="shared" si="6"/>
        <v>1</v>
      </c>
      <c r="AT87" s="31" t="s">
        <v>751</v>
      </c>
      <c r="AW87" s="42">
        <f t="shared" si="7"/>
        <v>0</v>
      </c>
      <c r="AX87" s="42">
        <f t="shared" si="8"/>
        <v>3</v>
      </c>
      <c r="AY87" s="42">
        <f t="shared" si="9"/>
        <v>2</v>
      </c>
      <c r="AZ87" s="42">
        <f t="shared" si="10"/>
        <v>-1</v>
      </c>
      <c r="BA87" s="42">
        <f>COUNTA(#REF!)</f>
        <v>1</v>
      </c>
      <c r="BB87" s="42">
        <f t="shared" si="11"/>
        <v>1</v>
      </c>
      <c r="BC87" s="42"/>
      <c r="BD87" s="42"/>
      <c r="BE87" s="42">
        <v>0</v>
      </c>
    </row>
    <row r="88" spans="1:62" hidden="1" x14ac:dyDescent="0.35">
      <c r="A88" s="199" t="s">
        <v>2639</v>
      </c>
      <c r="B88" s="199" t="s">
        <v>2057</v>
      </c>
      <c r="C88" s="200" t="s">
        <v>571</v>
      </c>
      <c r="D88" s="200" t="s">
        <v>8</v>
      </c>
      <c r="E88" s="200">
        <v>300</v>
      </c>
      <c r="F88" s="200" t="s">
        <v>572</v>
      </c>
      <c r="G88" s="85">
        <v>1</v>
      </c>
      <c r="H88" s="86">
        <v>1</v>
      </c>
      <c r="I88" s="87"/>
      <c r="J88" s="88"/>
      <c r="K88" s="89"/>
      <c r="L88" s="90" t="s">
        <v>12</v>
      </c>
      <c r="M88" s="165"/>
      <c r="N88" s="134"/>
      <c r="O88" s="45"/>
      <c r="P88" s="130"/>
      <c r="Q88" s="45"/>
      <c r="R88" s="136"/>
      <c r="S88" s="139"/>
      <c r="T88" s="136"/>
      <c r="U88" s="139"/>
      <c r="V88" s="45" t="s">
        <v>12</v>
      </c>
      <c r="W88" s="136"/>
      <c r="X88" s="134"/>
      <c r="Y88" s="166"/>
      <c r="Z88" s="126"/>
      <c r="AA88" s="130"/>
      <c r="AB88" s="126"/>
      <c r="AC88" s="130"/>
      <c r="AD88" s="126" t="s">
        <v>12</v>
      </c>
      <c r="AE88" s="130" t="s">
        <v>12</v>
      </c>
      <c r="AF88" s="126"/>
      <c r="AG88" s="43"/>
      <c r="AH88" s="44"/>
      <c r="AI88" s="45"/>
      <c r="AJ88" s="46">
        <v>1</v>
      </c>
      <c r="AK88" s="41"/>
      <c r="AL88" s="47"/>
      <c r="AM88" s="48"/>
      <c r="AN88" s="111"/>
      <c r="AO88" s="42"/>
      <c r="AP88" s="42"/>
      <c r="AQ88" s="115"/>
      <c r="AR88" s="75"/>
      <c r="AS88" s="40">
        <f t="shared" si="6"/>
        <v>1</v>
      </c>
      <c r="AT88" s="31" t="s">
        <v>1744</v>
      </c>
      <c r="AW88" s="42">
        <f t="shared" si="7"/>
        <v>0</v>
      </c>
      <c r="AX88" s="42">
        <f t="shared" si="8"/>
        <v>3</v>
      </c>
      <c r="AY88" s="42">
        <f t="shared" si="9"/>
        <v>2</v>
      </c>
      <c r="AZ88" s="42">
        <f t="shared" si="10"/>
        <v>-1</v>
      </c>
      <c r="BA88" s="42">
        <f>COUNTA(#REF!)</f>
        <v>1</v>
      </c>
      <c r="BB88" s="42">
        <f t="shared" si="11"/>
        <v>2</v>
      </c>
      <c r="BC88" s="42"/>
      <c r="BD88" s="42"/>
      <c r="BE88" s="42">
        <v>-1</v>
      </c>
    </row>
    <row r="89" spans="1:62" ht="26" hidden="1" x14ac:dyDescent="0.35">
      <c r="A89" s="199" t="s">
        <v>2639</v>
      </c>
      <c r="B89" s="199" t="s">
        <v>2057</v>
      </c>
      <c r="C89" s="200" t="s">
        <v>576</v>
      </c>
      <c r="D89" s="200" t="s">
        <v>131</v>
      </c>
      <c r="E89" s="200">
        <v>400</v>
      </c>
      <c r="F89" s="200" t="s">
        <v>577</v>
      </c>
      <c r="G89" s="85"/>
      <c r="H89" s="86"/>
      <c r="I89" s="87"/>
      <c r="J89" s="88"/>
      <c r="K89" s="89"/>
      <c r="L89" s="90"/>
      <c r="M89" s="165"/>
      <c r="N89" s="134"/>
      <c r="O89" s="45"/>
      <c r="P89" s="130"/>
      <c r="Q89" s="45"/>
      <c r="R89" s="136"/>
      <c r="S89" s="139"/>
      <c r="T89" s="136"/>
      <c r="U89" s="139"/>
      <c r="V89" s="45"/>
      <c r="W89" s="136"/>
      <c r="X89" s="134"/>
      <c r="Y89" s="166"/>
      <c r="Z89" s="126"/>
      <c r="AA89" s="130"/>
      <c r="AB89" s="126"/>
      <c r="AC89" s="130"/>
      <c r="AD89" s="126"/>
      <c r="AE89" s="130"/>
      <c r="AF89" s="126"/>
      <c r="AG89" s="43"/>
      <c r="AH89" s="44"/>
      <c r="AI89" s="45">
        <v>1</v>
      </c>
      <c r="AJ89" s="46"/>
      <c r="AK89" s="41"/>
      <c r="AL89" s="47"/>
      <c r="AM89" s="48"/>
      <c r="AN89" s="111"/>
      <c r="AO89" s="42"/>
      <c r="AP89" s="42"/>
      <c r="AQ89" s="115"/>
      <c r="AR89" s="75"/>
      <c r="AS89" s="40">
        <f t="shared" si="6"/>
        <v>1</v>
      </c>
      <c r="AW89" s="42"/>
      <c r="AX89" s="42"/>
      <c r="AY89" s="42"/>
      <c r="AZ89" s="42"/>
      <c r="BA89" s="42"/>
      <c r="BB89" s="42"/>
      <c r="BC89" s="42"/>
      <c r="BD89" s="42"/>
      <c r="BE89" s="42"/>
      <c r="BH89" s="31" t="s">
        <v>2258</v>
      </c>
      <c r="BI89" s="31" t="s">
        <v>2248</v>
      </c>
    </row>
    <row r="90" spans="1:62" ht="26" hidden="1" x14ac:dyDescent="0.35">
      <c r="A90" s="199" t="s">
        <v>2639</v>
      </c>
      <c r="B90" s="199" t="s">
        <v>2057</v>
      </c>
      <c r="C90" s="200" t="s">
        <v>568</v>
      </c>
      <c r="D90" s="200" t="s">
        <v>131</v>
      </c>
      <c r="E90" s="200">
        <v>400</v>
      </c>
      <c r="F90" s="200" t="s">
        <v>569</v>
      </c>
      <c r="G90" s="85">
        <v>1</v>
      </c>
      <c r="H90" s="86"/>
      <c r="I90" s="87"/>
      <c r="J90" s="88"/>
      <c r="K90" s="89"/>
      <c r="L90" s="90"/>
      <c r="M90" s="165"/>
      <c r="N90" s="134"/>
      <c r="O90" s="45"/>
      <c r="P90" s="130"/>
      <c r="Q90" s="45"/>
      <c r="R90" s="136"/>
      <c r="S90" s="139"/>
      <c r="T90" s="136"/>
      <c r="U90" s="139"/>
      <c r="V90" s="45"/>
      <c r="W90" s="136"/>
      <c r="X90" s="134"/>
      <c r="Y90" s="166"/>
      <c r="Z90" s="126"/>
      <c r="AA90" s="130"/>
      <c r="AB90" s="126"/>
      <c r="AC90" s="130"/>
      <c r="AD90" s="126"/>
      <c r="AE90" s="130"/>
      <c r="AF90" s="126"/>
      <c r="AG90" s="43"/>
      <c r="AH90" s="44"/>
      <c r="AI90" s="45"/>
      <c r="AJ90" s="46"/>
      <c r="AK90" s="41">
        <v>2</v>
      </c>
      <c r="AL90" s="47"/>
      <c r="AM90" s="48"/>
      <c r="AN90" s="111"/>
      <c r="AO90" s="42"/>
      <c r="AP90" s="42"/>
      <c r="AQ90" s="115"/>
      <c r="AR90" s="75"/>
      <c r="AS90" s="40">
        <f t="shared" si="6"/>
        <v>2</v>
      </c>
      <c r="AW90" s="42"/>
      <c r="AX90" s="42"/>
      <c r="AY90" s="42"/>
      <c r="AZ90" s="42"/>
      <c r="BA90" s="42"/>
      <c r="BB90" s="42"/>
      <c r="BC90" s="42"/>
      <c r="BD90" s="42"/>
      <c r="BE90" s="42"/>
      <c r="BH90" s="31" t="s">
        <v>2253</v>
      </c>
      <c r="BI90" s="31" t="s">
        <v>2248</v>
      </c>
      <c r="BJ90" s="31" t="s">
        <v>12</v>
      </c>
    </row>
    <row r="91" spans="1:62" hidden="1" x14ac:dyDescent="0.35">
      <c r="A91" s="199" t="s">
        <v>2639</v>
      </c>
      <c r="B91" s="199" t="s">
        <v>2057</v>
      </c>
      <c r="C91" s="200" t="s">
        <v>573</v>
      </c>
      <c r="D91" s="200" t="s">
        <v>131</v>
      </c>
      <c r="E91" s="200">
        <v>1200</v>
      </c>
      <c r="F91" s="201" t="s">
        <v>574</v>
      </c>
      <c r="G91" s="85"/>
      <c r="H91" s="86">
        <v>1</v>
      </c>
      <c r="I91" s="87"/>
      <c r="J91" s="88"/>
      <c r="K91" s="89"/>
      <c r="L91" s="90"/>
      <c r="M91" s="165"/>
      <c r="N91" s="134"/>
      <c r="O91" s="45"/>
      <c r="P91" s="130"/>
      <c r="Q91" s="45"/>
      <c r="R91" s="136"/>
      <c r="S91" s="139"/>
      <c r="T91" s="136"/>
      <c r="U91" s="139"/>
      <c r="V91" s="45"/>
      <c r="W91" s="136"/>
      <c r="X91" s="134"/>
      <c r="Y91" s="166"/>
      <c r="Z91" s="126"/>
      <c r="AA91" s="130"/>
      <c r="AB91" s="126"/>
      <c r="AC91" s="130"/>
      <c r="AD91" s="126"/>
      <c r="AE91" s="130"/>
      <c r="AF91" s="126" t="s">
        <v>12</v>
      </c>
      <c r="AG91" s="43">
        <v>2</v>
      </c>
      <c r="AH91" s="44"/>
      <c r="AI91" s="45"/>
      <c r="AJ91" s="46"/>
      <c r="AK91" s="41"/>
      <c r="AL91" s="47"/>
      <c r="AM91" s="48"/>
      <c r="AN91" s="111"/>
      <c r="AO91" s="42"/>
      <c r="AP91" s="42"/>
      <c r="AQ91" s="115"/>
      <c r="AR91" s="75"/>
      <c r="AS91" s="40">
        <f t="shared" si="6"/>
        <v>2</v>
      </c>
      <c r="AW91" s="42"/>
      <c r="AX91" s="42"/>
      <c r="AY91" s="42"/>
      <c r="AZ91" s="42"/>
      <c r="BA91" s="42"/>
      <c r="BB91" s="42"/>
      <c r="BC91" s="42"/>
      <c r="BD91" s="42"/>
      <c r="BE91" s="42"/>
      <c r="BH91" s="31" t="s">
        <v>2266</v>
      </c>
      <c r="BI91" s="31" t="s">
        <v>2248</v>
      </c>
    </row>
    <row r="92" spans="1:62" ht="39" hidden="1" x14ac:dyDescent="0.35">
      <c r="A92" s="199" t="s">
        <v>2639</v>
      </c>
      <c r="B92" s="199" t="s">
        <v>2057</v>
      </c>
      <c r="C92" s="200" t="s">
        <v>578</v>
      </c>
      <c r="D92" s="200" t="s">
        <v>131</v>
      </c>
      <c r="E92" s="200">
        <v>1200</v>
      </c>
      <c r="F92" s="200" t="s">
        <v>579</v>
      </c>
      <c r="G92" s="85"/>
      <c r="H92" s="86">
        <v>1</v>
      </c>
      <c r="I92" s="87">
        <v>1</v>
      </c>
      <c r="J92" s="88"/>
      <c r="K92" s="89"/>
      <c r="L92" s="90"/>
      <c r="M92" s="165"/>
      <c r="N92" s="134"/>
      <c r="O92" s="45"/>
      <c r="P92" s="130"/>
      <c r="Q92" s="45"/>
      <c r="R92" s="136"/>
      <c r="S92" s="139"/>
      <c r="T92" s="136"/>
      <c r="U92" s="139"/>
      <c r="V92" s="45"/>
      <c r="W92" s="136"/>
      <c r="X92" s="134"/>
      <c r="Y92" s="166"/>
      <c r="Z92" s="126"/>
      <c r="AA92" s="130"/>
      <c r="AB92" s="126"/>
      <c r="AC92" s="130"/>
      <c r="AD92" s="126"/>
      <c r="AE92" s="130"/>
      <c r="AF92" s="126"/>
      <c r="AG92" s="43"/>
      <c r="AH92" s="44">
        <v>2</v>
      </c>
      <c r="AI92" s="45"/>
      <c r="AJ92" s="46"/>
      <c r="AK92" s="41"/>
      <c r="AL92" s="47"/>
      <c r="AM92" s="48"/>
      <c r="AN92" s="111"/>
      <c r="AO92" s="42"/>
      <c r="AP92" s="42"/>
      <c r="AQ92" s="115"/>
      <c r="AR92" s="75"/>
      <c r="AS92" s="40">
        <f t="shared" si="6"/>
        <v>2</v>
      </c>
      <c r="AW92" s="42"/>
      <c r="AX92" s="42"/>
      <c r="AY92" s="42"/>
      <c r="AZ92" s="42"/>
      <c r="BA92" s="42"/>
      <c r="BB92" s="42"/>
      <c r="BC92" s="42"/>
      <c r="BD92" s="42"/>
      <c r="BE92" s="42"/>
      <c r="BH92" s="31" t="s">
        <v>2253</v>
      </c>
      <c r="BI92" s="31" t="s">
        <v>2248</v>
      </c>
    </row>
    <row r="93" spans="1:62" ht="26" hidden="1" x14ac:dyDescent="0.35">
      <c r="A93" s="199" t="s">
        <v>2639</v>
      </c>
      <c r="B93" s="199" t="s">
        <v>2057</v>
      </c>
      <c r="C93" s="200" t="s">
        <v>581</v>
      </c>
      <c r="D93" s="200" t="s">
        <v>131</v>
      </c>
      <c r="E93" s="200">
        <v>1000</v>
      </c>
      <c r="F93" s="200" t="s">
        <v>1862</v>
      </c>
      <c r="G93" s="85">
        <v>1</v>
      </c>
      <c r="H93" s="86"/>
      <c r="I93" s="87"/>
      <c r="J93" s="88"/>
      <c r="K93" s="89"/>
      <c r="L93" s="90"/>
      <c r="M93" s="165"/>
      <c r="N93" s="134"/>
      <c r="O93" s="45"/>
      <c r="P93" s="130"/>
      <c r="Q93" s="45"/>
      <c r="R93" s="136"/>
      <c r="S93" s="139"/>
      <c r="T93" s="136"/>
      <c r="U93" s="139"/>
      <c r="V93" s="45"/>
      <c r="W93" s="136"/>
      <c r="X93" s="134"/>
      <c r="Y93" s="166"/>
      <c r="Z93" s="126"/>
      <c r="AA93" s="130" t="s">
        <v>12</v>
      </c>
      <c r="AB93" s="126"/>
      <c r="AC93" s="130"/>
      <c r="AD93" s="126"/>
      <c r="AE93" s="130"/>
      <c r="AF93" s="126"/>
      <c r="AG93" s="43"/>
      <c r="AH93" s="44">
        <v>1</v>
      </c>
      <c r="AI93" s="45"/>
      <c r="AJ93" s="46"/>
      <c r="AK93" s="41"/>
      <c r="AL93" s="47"/>
      <c r="AM93" s="48"/>
      <c r="AN93" s="111"/>
      <c r="AO93" s="42"/>
      <c r="AP93" s="42"/>
      <c r="AQ93" s="115"/>
      <c r="AR93" s="75"/>
      <c r="AS93" s="40">
        <f t="shared" si="6"/>
        <v>1</v>
      </c>
      <c r="AW93" s="42"/>
      <c r="AX93" s="42"/>
      <c r="AY93" s="42"/>
      <c r="AZ93" s="42"/>
      <c r="BA93" s="42"/>
      <c r="BB93" s="42"/>
      <c r="BC93" s="42"/>
      <c r="BD93" s="42"/>
      <c r="BE93" s="42"/>
      <c r="BH93" s="31" t="s">
        <v>2253</v>
      </c>
      <c r="BI93" s="31" t="s">
        <v>2248</v>
      </c>
    </row>
    <row r="94" spans="1:62" hidden="1" x14ac:dyDescent="0.35">
      <c r="A94" s="199" t="s">
        <v>2639</v>
      </c>
      <c r="B94" s="199" t="s">
        <v>2057</v>
      </c>
      <c r="C94" s="200" t="s">
        <v>2645</v>
      </c>
      <c r="D94" s="200" t="s">
        <v>131</v>
      </c>
      <c r="E94" s="200">
        <v>1000</v>
      </c>
      <c r="F94" s="200" t="s">
        <v>570</v>
      </c>
      <c r="G94" s="85"/>
      <c r="H94" s="86"/>
      <c r="I94" s="87"/>
      <c r="J94" s="88"/>
      <c r="K94" s="89"/>
      <c r="L94" s="90"/>
      <c r="M94" s="165"/>
      <c r="N94" s="134"/>
      <c r="O94" s="45"/>
      <c r="P94" s="130"/>
      <c r="Q94" s="45"/>
      <c r="R94" s="136"/>
      <c r="S94" s="139"/>
      <c r="T94" s="136"/>
      <c r="U94" s="139"/>
      <c r="V94" s="45"/>
      <c r="W94" s="136"/>
      <c r="X94" s="134"/>
      <c r="Y94" s="166"/>
      <c r="Z94" s="126"/>
      <c r="AA94" s="130"/>
      <c r="AB94" s="126"/>
      <c r="AC94" s="130" t="s">
        <v>12</v>
      </c>
      <c r="AD94" s="126"/>
      <c r="AE94" s="130"/>
      <c r="AF94" s="126"/>
      <c r="AG94" s="43"/>
      <c r="AH94" s="44"/>
      <c r="AI94" s="45"/>
      <c r="AJ94" s="46">
        <v>2</v>
      </c>
      <c r="AK94" s="41"/>
      <c r="AL94" s="47"/>
      <c r="AM94" s="48"/>
      <c r="AN94" s="111"/>
      <c r="AO94" s="42"/>
      <c r="AP94" s="42"/>
      <c r="AQ94" s="115"/>
      <c r="AR94" s="75"/>
      <c r="AS94" s="40">
        <f t="shared" si="6"/>
        <v>2</v>
      </c>
      <c r="AW94" s="42"/>
      <c r="AX94" s="42"/>
      <c r="AY94" s="42"/>
      <c r="AZ94" s="42"/>
      <c r="BA94" s="42"/>
      <c r="BB94" s="42"/>
      <c r="BC94" s="42"/>
      <c r="BD94" s="42"/>
      <c r="BE94" s="42"/>
      <c r="BH94" s="31" t="s">
        <v>2256</v>
      </c>
      <c r="BI94" s="31" t="s">
        <v>2248</v>
      </c>
    </row>
    <row r="95" spans="1:62" hidden="1" x14ac:dyDescent="0.35">
      <c r="A95" s="199" t="s">
        <v>2639</v>
      </c>
      <c r="B95" s="199" t="s">
        <v>2057</v>
      </c>
      <c r="C95" s="200" t="s">
        <v>590</v>
      </c>
      <c r="D95" s="200" t="s">
        <v>131</v>
      </c>
      <c r="E95" s="200">
        <v>1200</v>
      </c>
      <c r="F95" s="200" t="s">
        <v>1870</v>
      </c>
      <c r="G95" s="85">
        <v>1</v>
      </c>
      <c r="H95" s="86"/>
      <c r="I95" s="87"/>
      <c r="J95" s="88"/>
      <c r="K95" s="89"/>
      <c r="L95" s="90"/>
      <c r="M95" s="165"/>
      <c r="N95" s="134"/>
      <c r="O95" s="45"/>
      <c r="P95" s="130"/>
      <c r="Q95" s="45"/>
      <c r="R95" s="136"/>
      <c r="S95" s="139"/>
      <c r="T95" s="136"/>
      <c r="U95" s="139"/>
      <c r="V95" s="45"/>
      <c r="W95" s="136"/>
      <c r="X95" s="134"/>
      <c r="Y95" s="166"/>
      <c r="Z95" s="126"/>
      <c r="AA95" s="130" t="s">
        <v>12</v>
      </c>
      <c r="AB95" s="126"/>
      <c r="AC95" s="130"/>
      <c r="AD95" s="126" t="s">
        <v>12</v>
      </c>
      <c r="AE95" s="130"/>
      <c r="AF95" s="126"/>
      <c r="AG95" s="43"/>
      <c r="AH95" s="44"/>
      <c r="AI95" s="45"/>
      <c r="AJ95" s="46">
        <v>1</v>
      </c>
      <c r="AK95" s="41"/>
      <c r="AL95" s="47"/>
      <c r="AM95" s="48"/>
      <c r="AN95" s="111"/>
      <c r="AO95" s="42"/>
      <c r="AP95" s="42"/>
      <c r="AQ95" s="115"/>
      <c r="AR95" s="75"/>
      <c r="AS95" s="40">
        <f t="shared" si="6"/>
        <v>1</v>
      </c>
      <c r="AW95" s="42"/>
      <c r="AX95" s="42"/>
      <c r="AY95" s="42"/>
      <c r="AZ95" s="42"/>
      <c r="BA95" s="42"/>
      <c r="BB95" s="42"/>
      <c r="BC95" s="42"/>
      <c r="BD95" s="42"/>
      <c r="BE95" s="42"/>
      <c r="BH95" s="31" t="s">
        <v>2256</v>
      </c>
      <c r="BI95" s="31" t="s">
        <v>2248</v>
      </c>
    </row>
    <row r="96" spans="1:62" ht="26" hidden="1" x14ac:dyDescent="0.35">
      <c r="A96" s="199" t="s">
        <v>2639</v>
      </c>
      <c r="B96" s="199" t="s">
        <v>2057</v>
      </c>
      <c r="C96" s="200" t="s">
        <v>575</v>
      </c>
      <c r="D96" s="200" t="s">
        <v>131</v>
      </c>
      <c r="E96" s="200">
        <v>0</v>
      </c>
      <c r="F96" s="200" t="s">
        <v>582</v>
      </c>
      <c r="G96" s="85"/>
      <c r="H96" s="86"/>
      <c r="I96" s="87"/>
      <c r="J96" s="88"/>
      <c r="K96" s="89"/>
      <c r="L96" s="90"/>
      <c r="M96" s="165"/>
      <c r="N96" s="134"/>
      <c r="O96" s="45"/>
      <c r="P96" s="130"/>
      <c r="Q96" s="45"/>
      <c r="R96" s="136"/>
      <c r="S96" s="139"/>
      <c r="T96" s="136"/>
      <c r="U96" s="139"/>
      <c r="V96" s="45"/>
      <c r="W96" s="136"/>
      <c r="X96" s="134"/>
      <c r="Y96" s="166"/>
      <c r="Z96" s="126"/>
      <c r="AA96" s="130"/>
      <c r="AB96" s="126"/>
      <c r="AC96" s="130"/>
      <c r="AD96" s="126"/>
      <c r="AE96" s="130"/>
      <c r="AF96" s="126"/>
      <c r="AG96" s="43">
        <v>1</v>
      </c>
      <c r="AH96" s="44"/>
      <c r="AI96" s="45"/>
      <c r="AJ96" s="46"/>
      <c r="AK96" s="41"/>
      <c r="AL96" s="47"/>
      <c r="AM96" s="48"/>
      <c r="AN96" s="111"/>
      <c r="AO96" s="42"/>
      <c r="AP96" s="42"/>
      <c r="AQ96" s="115"/>
      <c r="AR96" s="75"/>
      <c r="AS96" s="40">
        <f t="shared" si="6"/>
        <v>1</v>
      </c>
      <c r="AW96" s="42"/>
      <c r="AX96" s="42"/>
      <c r="AY96" s="42"/>
      <c r="AZ96" s="42"/>
      <c r="BA96" s="42"/>
      <c r="BB96" s="42"/>
      <c r="BC96" s="42"/>
      <c r="BD96" s="42"/>
      <c r="BE96" s="42"/>
      <c r="BH96" s="31" t="s">
        <v>2266</v>
      </c>
      <c r="BI96" s="31" t="s">
        <v>2248</v>
      </c>
    </row>
    <row r="97" spans="1:61" hidden="1" x14ac:dyDescent="0.35">
      <c r="A97" s="199" t="s">
        <v>2639</v>
      </c>
      <c r="B97" s="199" t="s">
        <v>2057</v>
      </c>
      <c r="C97" s="200" t="s">
        <v>589</v>
      </c>
      <c r="D97" s="200" t="s">
        <v>131</v>
      </c>
      <c r="E97" s="200">
        <v>1200</v>
      </c>
      <c r="F97" s="200" t="s">
        <v>1867</v>
      </c>
      <c r="G97" s="85">
        <v>1</v>
      </c>
      <c r="H97" s="86"/>
      <c r="I97" s="87"/>
      <c r="J97" s="88"/>
      <c r="K97" s="89"/>
      <c r="L97" s="90"/>
      <c r="M97" s="165"/>
      <c r="N97" s="134"/>
      <c r="O97" s="45"/>
      <c r="P97" s="130"/>
      <c r="Q97" s="45"/>
      <c r="R97" s="136"/>
      <c r="S97" s="139"/>
      <c r="T97" s="136"/>
      <c r="U97" s="139"/>
      <c r="V97" s="45"/>
      <c r="W97" s="136"/>
      <c r="X97" s="134"/>
      <c r="Y97" s="166"/>
      <c r="Z97" s="126"/>
      <c r="AA97" s="130"/>
      <c r="AB97" s="126"/>
      <c r="AC97" s="130"/>
      <c r="AD97" s="126" t="s">
        <v>12</v>
      </c>
      <c r="AE97" s="130" t="s">
        <v>12</v>
      </c>
      <c r="AF97" s="126"/>
      <c r="AG97" s="43"/>
      <c r="AH97" s="44"/>
      <c r="AI97" s="45"/>
      <c r="AJ97" s="46">
        <v>1</v>
      </c>
      <c r="AK97" s="41"/>
      <c r="AL97" s="47"/>
      <c r="AM97" s="48"/>
      <c r="AN97" s="111"/>
      <c r="AO97" s="42"/>
      <c r="AP97" s="42"/>
      <c r="AQ97" s="115"/>
      <c r="AR97" s="75"/>
      <c r="AS97" s="40">
        <f t="shared" si="6"/>
        <v>1</v>
      </c>
      <c r="AW97" s="42"/>
      <c r="AX97" s="42"/>
      <c r="AY97" s="42"/>
      <c r="AZ97" s="42"/>
      <c r="BA97" s="42"/>
      <c r="BB97" s="42"/>
      <c r="BC97" s="42"/>
      <c r="BD97" s="42"/>
      <c r="BE97" s="42"/>
      <c r="BH97" s="31" t="s">
        <v>2256</v>
      </c>
      <c r="BI97" s="31" t="s">
        <v>2248</v>
      </c>
    </row>
    <row r="98" spans="1:61" ht="26" hidden="1" x14ac:dyDescent="0.35">
      <c r="A98" s="199" t="s">
        <v>2639</v>
      </c>
      <c r="B98" s="199" t="s">
        <v>2057</v>
      </c>
      <c r="C98" s="200" t="s">
        <v>583</v>
      </c>
      <c r="D98" s="200" t="s">
        <v>131</v>
      </c>
      <c r="E98" s="200">
        <v>1200</v>
      </c>
      <c r="F98" s="200" t="s">
        <v>584</v>
      </c>
      <c r="G98" s="85"/>
      <c r="H98" s="86">
        <v>1</v>
      </c>
      <c r="I98" s="87"/>
      <c r="J98" s="88"/>
      <c r="K98" s="89"/>
      <c r="L98" s="90"/>
      <c r="M98" s="165"/>
      <c r="N98" s="134"/>
      <c r="O98" s="45"/>
      <c r="P98" s="130"/>
      <c r="Q98" s="45"/>
      <c r="R98" s="136"/>
      <c r="S98" s="139"/>
      <c r="T98" s="136"/>
      <c r="U98" s="139"/>
      <c r="V98" s="45"/>
      <c r="W98" s="136"/>
      <c r="X98" s="134"/>
      <c r="Y98" s="166"/>
      <c r="Z98" s="126"/>
      <c r="AA98" s="130"/>
      <c r="AB98" s="126"/>
      <c r="AC98" s="130"/>
      <c r="AD98" s="126"/>
      <c r="AE98" s="130"/>
      <c r="AF98" s="126"/>
      <c r="AG98" s="43"/>
      <c r="AH98" s="44"/>
      <c r="AI98" s="45"/>
      <c r="AJ98" s="46"/>
      <c r="AK98" s="41">
        <v>1</v>
      </c>
      <c r="AL98" s="47"/>
      <c r="AM98" s="48"/>
      <c r="AN98" s="111"/>
      <c r="AO98" s="42"/>
      <c r="AP98" s="42"/>
      <c r="AQ98" s="115"/>
      <c r="AR98" s="75"/>
      <c r="AS98" s="40">
        <f t="shared" si="6"/>
        <v>1</v>
      </c>
      <c r="AW98" s="42"/>
      <c r="AX98" s="42"/>
      <c r="AY98" s="42"/>
      <c r="AZ98" s="42"/>
      <c r="BA98" s="42"/>
      <c r="BB98" s="42"/>
      <c r="BC98" s="42"/>
      <c r="BD98" s="42"/>
      <c r="BE98" s="42"/>
      <c r="BH98" s="31" t="s">
        <v>2252</v>
      </c>
      <c r="BI98" s="31" t="s">
        <v>2248</v>
      </c>
    </row>
    <row r="99" spans="1:61" hidden="1" x14ac:dyDescent="0.35">
      <c r="A99" s="199" t="s">
        <v>2639</v>
      </c>
      <c r="B99" s="199" t="s">
        <v>2057</v>
      </c>
      <c r="C99" s="200" t="s">
        <v>580</v>
      </c>
      <c r="D99" s="200" t="s">
        <v>131</v>
      </c>
      <c r="E99" s="200">
        <v>600</v>
      </c>
      <c r="F99" s="200" t="s">
        <v>1880</v>
      </c>
      <c r="G99" s="85">
        <v>2</v>
      </c>
      <c r="H99" s="86"/>
      <c r="I99" s="87"/>
      <c r="J99" s="88"/>
      <c r="K99" s="89"/>
      <c r="L99" s="90"/>
      <c r="M99" s="165"/>
      <c r="N99" s="134"/>
      <c r="O99" s="45"/>
      <c r="P99" s="130"/>
      <c r="Q99" s="45"/>
      <c r="R99" s="136"/>
      <c r="S99" s="139"/>
      <c r="T99" s="136"/>
      <c r="U99" s="139"/>
      <c r="V99" s="45"/>
      <c r="W99" s="136"/>
      <c r="X99" s="134"/>
      <c r="Y99" s="166"/>
      <c r="Z99" s="126"/>
      <c r="AA99" s="130"/>
      <c r="AB99" s="126"/>
      <c r="AC99" s="130"/>
      <c r="AD99" s="126" t="s">
        <v>12</v>
      </c>
      <c r="AE99" s="130"/>
      <c r="AF99" s="126"/>
      <c r="AG99" s="43"/>
      <c r="AH99" s="44"/>
      <c r="AI99" s="45">
        <v>2</v>
      </c>
      <c r="AJ99" s="46"/>
      <c r="AK99" s="41"/>
      <c r="AL99" s="47"/>
      <c r="AM99" s="48"/>
      <c r="AN99" s="111"/>
      <c r="AO99" s="42"/>
      <c r="AP99" s="42"/>
      <c r="AQ99" s="115"/>
      <c r="AR99" s="75"/>
      <c r="AS99" s="40">
        <f t="shared" si="6"/>
        <v>2</v>
      </c>
      <c r="AW99" s="42"/>
      <c r="AX99" s="42"/>
      <c r="AY99" s="42"/>
      <c r="AZ99" s="42"/>
      <c r="BA99" s="42"/>
      <c r="BB99" s="42"/>
      <c r="BC99" s="42"/>
      <c r="BD99" s="42"/>
      <c r="BE99" s="42"/>
      <c r="BH99" s="31" t="s">
        <v>2258</v>
      </c>
      <c r="BI99" s="31" t="s">
        <v>2248</v>
      </c>
    </row>
    <row r="100" spans="1:61" ht="26" hidden="1" x14ac:dyDescent="0.35">
      <c r="A100" s="199" t="s">
        <v>2639</v>
      </c>
      <c r="B100" s="199" t="s">
        <v>2058</v>
      </c>
      <c r="C100" s="200" t="s">
        <v>690</v>
      </c>
      <c r="D100" s="200" t="s">
        <v>8</v>
      </c>
      <c r="E100" s="200">
        <v>0</v>
      </c>
      <c r="F100" s="200" t="s">
        <v>1858</v>
      </c>
      <c r="G100" s="85"/>
      <c r="H100" s="86">
        <v>1</v>
      </c>
      <c r="I100" s="87">
        <v>1</v>
      </c>
      <c r="J100" s="88"/>
      <c r="K100" s="89"/>
      <c r="L100" s="90"/>
      <c r="M100" s="165"/>
      <c r="N100" s="134" t="s">
        <v>12</v>
      </c>
      <c r="O100" s="45"/>
      <c r="P100" s="130"/>
      <c r="Q100" s="45"/>
      <c r="R100" s="136"/>
      <c r="S100" s="139"/>
      <c r="T100" s="136"/>
      <c r="U100" s="139"/>
      <c r="V100" s="45"/>
      <c r="W100" s="136"/>
      <c r="X100" s="134"/>
      <c r="Y100" s="166"/>
      <c r="Z100" s="126"/>
      <c r="AA100" s="130"/>
      <c r="AB100" s="126"/>
      <c r="AC100" s="130"/>
      <c r="AD100" s="126"/>
      <c r="AE100" s="130"/>
      <c r="AF100" s="126"/>
      <c r="AG100" s="43"/>
      <c r="AH100" s="44"/>
      <c r="AI100" s="45"/>
      <c r="AJ100" s="46"/>
      <c r="AK100" s="41">
        <v>1</v>
      </c>
      <c r="AL100" s="47"/>
      <c r="AM100" s="48"/>
      <c r="AN100" s="111"/>
      <c r="AO100" s="42"/>
      <c r="AP100" s="42"/>
      <c r="AQ100" s="115"/>
      <c r="AR100" s="75"/>
      <c r="AS100" s="40">
        <f t="shared" si="6"/>
        <v>1</v>
      </c>
      <c r="AT100" s="31" t="s">
        <v>1741</v>
      </c>
      <c r="AW100" s="42">
        <f t="shared" ref="AW100:AW109" si="12">SUM(E100-(AX100*100))</f>
        <v>-200</v>
      </c>
      <c r="AX100" s="42">
        <f t="shared" ref="AX100:AX109" si="13">SUM(AY100:BE100)</f>
        <v>2</v>
      </c>
      <c r="AY100" s="42">
        <f t="shared" ref="AY100:AY109" si="14">SUM(G100:I100)</f>
        <v>2</v>
      </c>
      <c r="AZ100" s="42">
        <f t="shared" ref="AZ100:AZ109" si="15">SUM(0-COUNTA(J100:L100))</f>
        <v>0</v>
      </c>
      <c r="BA100" s="42">
        <f>COUNTA(#REF!)</f>
        <v>1</v>
      </c>
      <c r="BB100" s="42">
        <f t="shared" ref="BB100:BB109" si="16">COUNTA(Z100:AF100)</f>
        <v>0</v>
      </c>
      <c r="BC100" s="42"/>
      <c r="BD100" s="42">
        <v>-1</v>
      </c>
      <c r="BE100" s="42">
        <v>0</v>
      </c>
    </row>
    <row r="101" spans="1:61" ht="26" hidden="1" x14ac:dyDescent="0.35">
      <c r="A101" s="199" t="s">
        <v>2639</v>
      </c>
      <c r="B101" s="199" t="s">
        <v>2058</v>
      </c>
      <c r="C101" s="200" t="s">
        <v>700</v>
      </c>
      <c r="D101" s="200" t="s">
        <v>8</v>
      </c>
      <c r="E101" s="200">
        <v>200</v>
      </c>
      <c r="F101" s="200" t="s">
        <v>701</v>
      </c>
      <c r="G101" s="85">
        <v>2</v>
      </c>
      <c r="H101" s="86"/>
      <c r="I101" s="87"/>
      <c r="J101" s="88"/>
      <c r="K101" s="89"/>
      <c r="L101" s="90" t="s">
        <v>12</v>
      </c>
      <c r="M101" s="165"/>
      <c r="N101" s="134"/>
      <c r="O101" s="45" t="s">
        <v>12</v>
      </c>
      <c r="P101" s="130"/>
      <c r="Q101" s="45"/>
      <c r="R101" s="136"/>
      <c r="S101" s="139"/>
      <c r="T101" s="136"/>
      <c r="U101" s="139"/>
      <c r="V101" s="45"/>
      <c r="W101" s="136"/>
      <c r="X101" s="134"/>
      <c r="Y101" s="166"/>
      <c r="Z101" s="126"/>
      <c r="AA101" s="130"/>
      <c r="AB101" s="126"/>
      <c r="AC101" s="130"/>
      <c r="AD101" s="126"/>
      <c r="AE101" s="130"/>
      <c r="AF101" s="126"/>
      <c r="AG101" s="43"/>
      <c r="AH101" s="44"/>
      <c r="AI101" s="45">
        <v>2</v>
      </c>
      <c r="AJ101" s="46">
        <v>2</v>
      </c>
      <c r="AK101" s="41"/>
      <c r="AL101" s="47"/>
      <c r="AM101" s="48"/>
      <c r="AN101" s="111"/>
      <c r="AO101" s="42"/>
      <c r="AP101" s="42"/>
      <c r="AQ101" s="115"/>
      <c r="AR101" s="75"/>
      <c r="AS101" s="40">
        <f t="shared" si="6"/>
        <v>4</v>
      </c>
      <c r="AT101" s="31" t="s">
        <v>1742</v>
      </c>
      <c r="AW101" s="42">
        <f t="shared" si="12"/>
        <v>-100</v>
      </c>
      <c r="AX101" s="42">
        <f t="shared" si="13"/>
        <v>3</v>
      </c>
      <c r="AY101" s="42">
        <f t="shared" si="14"/>
        <v>2</v>
      </c>
      <c r="AZ101" s="42">
        <f t="shared" si="15"/>
        <v>-1</v>
      </c>
      <c r="BA101" s="42">
        <f>COUNTA(#REF!)</f>
        <v>1</v>
      </c>
      <c r="BB101" s="42">
        <f t="shared" si="16"/>
        <v>0</v>
      </c>
      <c r="BC101" s="42">
        <v>1</v>
      </c>
      <c r="BD101" s="42"/>
      <c r="BE101" s="42">
        <v>0</v>
      </c>
    </row>
    <row r="102" spans="1:61" ht="19" hidden="1" x14ac:dyDescent="0.35">
      <c r="A102" s="199" t="s">
        <v>2639</v>
      </c>
      <c r="B102" s="199" t="s">
        <v>2058</v>
      </c>
      <c r="C102" s="200" t="s">
        <v>703</v>
      </c>
      <c r="D102" s="200" t="s">
        <v>8</v>
      </c>
      <c r="E102" s="200">
        <v>200</v>
      </c>
      <c r="F102" s="200" t="s">
        <v>1884</v>
      </c>
      <c r="G102" s="85"/>
      <c r="H102" s="86"/>
      <c r="I102" s="87">
        <v>2</v>
      </c>
      <c r="J102" s="88"/>
      <c r="K102" s="89"/>
      <c r="L102" s="90"/>
      <c r="M102" s="165"/>
      <c r="N102" s="134"/>
      <c r="O102" s="45"/>
      <c r="P102" s="130" t="s">
        <v>12</v>
      </c>
      <c r="Q102" s="45"/>
      <c r="R102" s="136"/>
      <c r="S102" s="139"/>
      <c r="T102" s="136"/>
      <c r="U102" s="139"/>
      <c r="V102" s="45"/>
      <c r="W102" s="136"/>
      <c r="X102" s="134"/>
      <c r="Y102" s="166"/>
      <c r="Z102" s="126"/>
      <c r="AA102" s="130"/>
      <c r="AB102" s="126"/>
      <c r="AC102" s="130"/>
      <c r="AD102" s="126"/>
      <c r="AE102" s="130"/>
      <c r="AF102" s="126"/>
      <c r="AG102" s="43"/>
      <c r="AH102" s="44"/>
      <c r="AI102" s="45">
        <v>1</v>
      </c>
      <c r="AJ102" s="46"/>
      <c r="AK102" s="41"/>
      <c r="AL102" s="47"/>
      <c r="AM102" s="48"/>
      <c r="AN102" s="111"/>
      <c r="AO102" s="42"/>
      <c r="AP102" s="42"/>
      <c r="AQ102" s="115"/>
      <c r="AR102" s="75"/>
      <c r="AS102" s="40">
        <f t="shared" si="6"/>
        <v>1</v>
      </c>
      <c r="AT102" s="31" t="s">
        <v>1748</v>
      </c>
      <c r="AW102" s="42">
        <f t="shared" si="12"/>
        <v>0</v>
      </c>
      <c r="AX102" s="42">
        <f t="shared" si="13"/>
        <v>2</v>
      </c>
      <c r="AY102" s="42">
        <f t="shared" si="14"/>
        <v>2</v>
      </c>
      <c r="AZ102" s="42">
        <f t="shared" si="15"/>
        <v>0</v>
      </c>
      <c r="BA102" s="42">
        <f>COUNTA(#REF!)</f>
        <v>1</v>
      </c>
      <c r="BB102" s="42">
        <f t="shared" si="16"/>
        <v>0</v>
      </c>
      <c r="BC102" s="42"/>
      <c r="BD102" s="42">
        <v>-1</v>
      </c>
      <c r="BE102" s="42">
        <v>0</v>
      </c>
    </row>
    <row r="103" spans="1:61" ht="26" hidden="1" x14ac:dyDescent="0.35">
      <c r="A103" s="199" t="s">
        <v>2639</v>
      </c>
      <c r="B103" s="199" t="s">
        <v>2058</v>
      </c>
      <c r="C103" s="200" t="s">
        <v>683</v>
      </c>
      <c r="D103" s="200" t="s">
        <v>8</v>
      </c>
      <c r="E103" s="200">
        <v>200</v>
      </c>
      <c r="F103" s="200" t="s">
        <v>708</v>
      </c>
      <c r="G103" s="85"/>
      <c r="H103" s="86">
        <v>1</v>
      </c>
      <c r="I103" s="87">
        <v>1</v>
      </c>
      <c r="J103" s="88"/>
      <c r="K103" s="89"/>
      <c r="L103" s="90" t="s">
        <v>12</v>
      </c>
      <c r="M103" s="165"/>
      <c r="N103" s="134"/>
      <c r="O103" s="45"/>
      <c r="P103" s="130"/>
      <c r="Q103" s="45"/>
      <c r="R103" s="136"/>
      <c r="S103" s="139"/>
      <c r="T103" s="136"/>
      <c r="U103" s="139"/>
      <c r="V103" s="45"/>
      <c r="W103" s="136"/>
      <c r="X103" s="134"/>
      <c r="Y103" s="166"/>
      <c r="Z103" s="126"/>
      <c r="AA103" s="130"/>
      <c r="AB103" s="126"/>
      <c r="AC103" s="130"/>
      <c r="AD103" s="126"/>
      <c r="AE103" s="130"/>
      <c r="AF103" s="126"/>
      <c r="AG103" s="43">
        <v>1</v>
      </c>
      <c r="AH103" s="44"/>
      <c r="AI103" s="45"/>
      <c r="AJ103" s="46"/>
      <c r="AK103" s="41"/>
      <c r="AL103" s="47"/>
      <c r="AM103" s="48"/>
      <c r="AN103" s="111"/>
      <c r="AO103" s="42"/>
      <c r="AP103" s="42"/>
      <c r="AQ103" s="115"/>
      <c r="AR103" s="75"/>
      <c r="AS103" s="40">
        <f t="shared" si="6"/>
        <v>1</v>
      </c>
      <c r="AT103" s="31" t="s">
        <v>1751</v>
      </c>
      <c r="AW103" s="42">
        <f t="shared" si="12"/>
        <v>-100</v>
      </c>
      <c r="AX103" s="42">
        <f t="shared" si="13"/>
        <v>3</v>
      </c>
      <c r="AY103" s="42">
        <f t="shared" si="14"/>
        <v>2</v>
      </c>
      <c r="AZ103" s="42">
        <f t="shared" si="15"/>
        <v>-1</v>
      </c>
      <c r="BA103" s="42">
        <f>COUNTA(#REF!)</f>
        <v>1</v>
      </c>
      <c r="BB103" s="42">
        <f t="shared" si="16"/>
        <v>0</v>
      </c>
      <c r="BC103" s="42"/>
      <c r="BD103" s="42"/>
      <c r="BE103" s="42">
        <v>1</v>
      </c>
    </row>
    <row r="104" spans="1:61" ht="26" hidden="1" x14ac:dyDescent="0.35">
      <c r="A104" s="199" t="s">
        <v>2639</v>
      </c>
      <c r="B104" s="199" t="s">
        <v>2058</v>
      </c>
      <c r="C104" s="200" t="s">
        <v>702</v>
      </c>
      <c r="D104" s="200" t="s">
        <v>8</v>
      </c>
      <c r="E104" s="200">
        <v>0</v>
      </c>
      <c r="F104" s="200" t="s">
        <v>2496</v>
      </c>
      <c r="G104" s="85"/>
      <c r="H104" s="86"/>
      <c r="I104" s="87">
        <v>1</v>
      </c>
      <c r="J104" s="88" t="s">
        <v>12</v>
      </c>
      <c r="K104" s="89"/>
      <c r="L104" s="90"/>
      <c r="M104" s="165"/>
      <c r="N104" s="134" t="s">
        <v>12</v>
      </c>
      <c r="O104" s="45"/>
      <c r="P104" s="130"/>
      <c r="Q104" s="45"/>
      <c r="R104" s="136"/>
      <c r="S104" s="139"/>
      <c r="T104" s="136"/>
      <c r="U104" s="139"/>
      <c r="V104" s="45"/>
      <c r="W104" s="136"/>
      <c r="X104" s="134"/>
      <c r="Y104" s="166"/>
      <c r="Z104" s="126"/>
      <c r="AA104" s="130"/>
      <c r="AB104" s="126"/>
      <c r="AC104" s="130"/>
      <c r="AD104" s="126"/>
      <c r="AE104" s="130"/>
      <c r="AF104" s="126"/>
      <c r="AG104" s="43"/>
      <c r="AH104" s="44"/>
      <c r="AI104" s="45"/>
      <c r="AJ104" s="46">
        <v>1</v>
      </c>
      <c r="AK104" s="41"/>
      <c r="AL104" s="47"/>
      <c r="AM104" s="48"/>
      <c r="AN104" s="111"/>
      <c r="AO104" s="42"/>
      <c r="AP104" s="42"/>
      <c r="AQ104" s="115"/>
      <c r="AR104" s="75"/>
      <c r="AS104" s="40">
        <f t="shared" si="6"/>
        <v>1</v>
      </c>
      <c r="AT104" s="31" t="s">
        <v>1752</v>
      </c>
      <c r="AW104" s="42">
        <f t="shared" si="12"/>
        <v>0</v>
      </c>
      <c r="AX104" s="42">
        <f t="shared" si="13"/>
        <v>0</v>
      </c>
      <c r="AY104" s="42">
        <f t="shared" si="14"/>
        <v>1</v>
      </c>
      <c r="AZ104" s="42">
        <f t="shared" si="15"/>
        <v>-1</v>
      </c>
      <c r="BA104" s="42">
        <f>COUNTA(#REF!)</f>
        <v>1</v>
      </c>
      <c r="BB104" s="42">
        <f t="shared" si="16"/>
        <v>0</v>
      </c>
      <c r="BC104" s="42"/>
      <c r="BD104" s="42">
        <v>-1</v>
      </c>
      <c r="BE104" s="42">
        <v>0</v>
      </c>
    </row>
    <row r="105" spans="1:61" ht="39" hidden="1" x14ac:dyDescent="0.35">
      <c r="A105" s="199" t="s">
        <v>2639</v>
      </c>
      <c r="B105" s="199" t="s">
        <v>2058</v>
      </c>
      <c r="C105" s="200" t="s">
        <v>698</v>
      </c>
      <c r="D105" s="200" t="s">
        <v>8</v>
      </c>
      <c r="E105" s="200">
        <v>0</v>
      </c>
      <c r="F105" s="200" t="s">
        <v>699</v>
      </c>
      <c r="G105" s="85">
        <v>1</v>
      </c>
      <c r="H105" s="86">
        <v>1</v>
      </c>
      <c r="I105" s="87"/>
      <c r="J105" s="88"/>
      <c r="K105" s="89"/>
      <c r="L105" s="90"/>
      <c r="M105" s="165"/>
      <c r="N105" s="134" t="s">
        <v>12</v>
      </c>
      <c r="O105" s="45"/>
      <c r="P105" s="130"/>
      <c r="Q105" s="45"/>
      <c r="R105" s="136"/>
      <c r="S105" s="139"/>
      <c r="T105" s="136"/>
      <c r="U105" s="139"/>
      <c r="V105" s="45"/>
      <c r="W105" s="136"/>
      <c r="X105" s="134"/>
      <c r="Y105" s="166"/>
      <c r="Z105" s="126"/>
      <c r="AA105" s="130"/>
      <c r="AB105" s="126"/>
      <c r="AC105" s="130"/>
      <c r="AD105" s="126"/>
      <c r="AE105" s="130"/>
      <c r="AF105" s="126"/>
      <c r="AG105" s="43"/>
      <c r="AH105" s="44">
        <v>1</v>
      </c>
      <c r="AI105" s="45"/>
      <c r="AJ105" s="46"/>
      <c r="AK105" s="41"/>
      <c r="AL105" s="47"/>
      <c r="AM105" s="48"/>
      <c r="AN105" s="111"/>
      <c r="AO105" s="42"/>
      <c r="AP105" s="42"/>
      <c r="AQ105" s="115"/>
      <c r="AR105" s="75"/>
      <c r="AS105" s="40">
        <f t="shared" si="6"/>
        <v>1</v>
      </c>
      <c r="AT105" s="31" t="s">
        <v>1753</v>
      </c>
      <c r="AW105" s="42">
        <f t="shared" si="12"/>
        <v>-200</v>
      </c>
      <c r="AX105" s="42">
        <f t="shared" si="13"/>
        <v>2</v>
      </c>
      <c r="AY105" s="42">
        <f t="shared" si="14"/>
        <v>2</v>
      </c>
      <c r="AZ105" s="42">
        <f t="shared" si="15"/>
        <v>0</v>
      </c>
      <c r="BA105" s="42">
        <f>COUNTA(#REF!)</f>
        <v>1</v>
      </c>
      <c r="BB105" s="42">
        <f t="shared" si="16"/>
        <v>0</v>
      </c>
      <c r="BC105" s="42"/>
      <c r="BD105" s="42">
        <v>-2</v>
      </c>
      <c r="BE105" s="42">
        <v>1</v>
      </c>
    </row>
    <row r="106" spans="1:61" ht="26" hidden="1" x14ac:dyDescent="0.35">
      <c r="A106" s="199" t="s">
        <v>2639</v>
      </c>
      <c r="B106" s="199" t="s">
        <v>2058</v>
      </c>
      <c r="C106" s="200" t="s">
        <v>675</v>
      </c>
      <c r="D106" s="200" t="s">
        <v>8</v>
      </c>
      <c r="E106" s="200">
        <v>0</v>
      </c>
      <c r="F106" s="200" t="s">
        <v>2496</v>
      </c>
      <c r="G106" s="85">
        <v>1</v>
      </c>
      <c r="H106" s="86"/>
      <c r="I106" s="87"/>
      <c r="J106" s="88"/>
      <c r="K106" s="89"/>
      <c r="L106" s="90"/>
      <c r="M106" s="165"/>
      <c r="N106" s="134" t="s">
        <v>12</v>
      </c>
      <c r="O106" s="45"/>
      <c r="P106" s="130"/>
      <c r="Q106" s="45"/>
      <c r="R106" s="136"/>
      <c r="S106" s="139"/>
      <c r="T106" s="136"/>
      <c r="U106" s="139"/>
      <c r="V106" s="45"/>
      <c r="W106" s="136"/>
      <c r="X106" s="134"/>
      <c r="Y106" s="166"/>
      <c r="Z106" s="126"/>
      <c r="AA106" s="130"/>
      <c r="AB106" s="126"/>
      <c r="AC106" s="130"/>
      <c r="AD106" s="126"/>
      <c r="AE106" s="130"/>
      <c r="AF106" s="126"/>
      <c r="AG106" s="43"/>
      <c r="AH106" s="44"/>
      <c r="AI106" s="45">
        <v>1</v>
      </c>
      <c r="AJ106" s="46"/>
      <c r="AK106" s="41"/>
      <c r="AL106" s="47"/>
      <c r="AM106" s="48"/>
      <c r="AN106" s="111"/>
      <c r="AO106" s="42"/>
      <c r="AP106" s="42"/>
      <c r="AQ106" s="115"/>
      <c r="AR106" s="75"/>
      <c r="AS106" s="40">
        <f t="shared" si="6"/>
        <v>1</v>
      </c>
      <c r="AT106" s="31" t="s">
        <v>1752</v>
      </c>
      <c r="AW106" s="42">
        <f t="shared" si="12"/>
        <v>-100</v>
      </c>
      <c r="AX106" s="42">
        <f t="shared" si="13"/>
        <v>1</v>
      </c>
      <c r="AY106" s="42">
        <f t="shared" si="14"/>
        <v>1</v>
      </c>
      <c r="AZ106" s="42">
        <f t="shared" si="15"/>
        <v>0</v>
      </c>
      <c r="BA106" s="42">
        <f>COUNTA(#REF!)</f>
        <v>1</v>
      </c>
      <c r="BB106" s="42">
        <f t="shared" si="16"/>
        <v>0</v>
      </c>
      <c r="BC106" s="42"/>
      <c r="BD106" s="42">
        <v>-1</v>
      </c>
      <c r="BE106" s="42">
        <v>0</v>
      </c>
    </row>
    <row r="107" spans="1:61" ht="26" hidden="1" x14ac:dyDescent="0.35">
      <c r="A107" s="199" t="s">
        <v>2639</v>
      </c>
      <c r="B107" s="199" t="s">
        <v>2058</v>
      </c>
      <c r="C107" s="200" t="s">
        <v>706</v>
      </c>
      <c r="D107" s="200" t="s">
        <v>8</v>
      </c>
      <c r="E107" s="200">
        <v>0</v>
      </c>
      <c r="F107" s="200" t="s">
        <v>707</v>
      </c>
      <c r="G107" s="85"/>
      <c r="H107" s="86"/>
      <c r="I107" s="87"/>
      <c r="J107" s="88" t="s">
        <v>12</v>
      </c>
      <c r="K107" s="89"/>
      <c r="L107" s="90"/>
      <c r="M107" s="165"/>
      <c r="N107" s="134"/>
      <c r="O107" s="45"/>
      <c r="P107" s="130"/>
      <c r="Q107" s="45"/>
      <c r="R107" s="136"/>
      <c r="S107" s="139"/>
      <c r="T107" s="136"/>
      <c r="U107" s="139"/>
      <c r="V107" s="45"/>
      <c r="W107" s="136"/>
      <c r="X107" s="134"/>
      <c r="Y107" s="166"/>
      <c r="Z107" s="126"/>
      <c r="AA107" s="130"/>
      <c r="AB107" s="126"/>
      <c r="AC107" s="130"/>
      <c r="AD107" s="126"/>
      <c r="AE107" s="130"/>
      <c r="AF107" s="126"/>
      <c r="AG107" s="43"/>
      <c r="AH107" s="44"/>
      <c r="AI107" s="45">
        <v>1</v>
      </c>
      <c r="AJ107" s="46"/>
      <c r="AK107" s="41"/>
      <c r="AL107" s="47"/>
      <c r="AM107" s="48"/>
      <c r="AN107" s="111"/>
      <c r="AO107" s="42"/>
      <c r="AP107" s="42"/>
      <c r="AQ107" s="115"/>
      <c r="AR107" s="75"/>
      <c r="AS107" s="40">
        <f t="shared" si="6"/>
        <v>1</v>
      </c>
      <c r="AT107" s="31" t="s">
        <v>1753</v>
      </c>
      <c r="AW107" s="42">
        <f t="shared" si="12"/>
        <v>-100</v>
      </c>
      <c r="AX107" s="42">
        <f t="shared" si="13"/>
        <v>1</v>
      </c>
      <c r="AY107" s="42">
        <f t="shared" si="14"/>
        <v>0</v>
      </c>
      <c r="AZ107" s="42">
        <f t="shared" si="15"/>
        <v>-1</v>
      </c>
      <c r="BA107" s="42">
        <f>COUNTA(#REF!)</f>
        <v>1</v>
      </c>
      <c r="BB107" s="42">
        <f t="shared" si="16"/>
        <v>0</v>
      </c>
      <c r="BC107" s="42"/>
      <c r="BD107" s="42"/>
      <c r="BE107" s="42">
        <v>1</v>
      </c>
    </row>
    <row r="108" spans="1:61" ht="26" hidden="1" x14ac:dyDescent="0.35">
      <c r="A108" s="199" t="s">
        <v>2639</v>
      </c>
      <c r="B108" s="199" t="s">
        <v>2058</v>
      </c>
      <c r="C108" s="200" t="s">
        <v>676</v>
      </c>
      <c r="D108" s="200" t="s">
        <v>8</v>
      </c>
      <c r="E108" s="200">
        <v>0</v>
      </c>
      <c r="F108" s="200" t="s">
        <v>1879</v>
      </c>
      <c r="G108" s="85"/>
      <c r="H108" s="86"/>
      <c r="I108" s="87">
        <v>2</v>
      </c>
      <c r="J108" s="88" t="s">
        <v>12</v>
      </c>
      <c r="K108" s="89"/>
      <c r="L108" s="90"/>
      <c r="M108" s="165"/>
      <c r="N108" s="134" t="s">
        <v>12</v>
      </c>
      <c r="O108" s="45"/>
      <c r="P108" s="130"/>
      <c r="Q108" s="45"/>
      <c r="R108" s="136"/>
      <c r="S108" s="139"/>
      <c r="T108" s="136"/>
      <c r="U108" s="139"/>
      <c r="V108" s="45"/>
      <c r="W108" s="136"/>
      <c r="X108" s="134"/>
      <c r="Y108" s="166"/>
      <c r="Z108" s="126"/>
      <c r="AA108" s="130"/>
      <c r="AB108" s="126"/>
      <c r="AC108" s="130"/>
      <c r="AD108" s="126"/>
      <c r="AE108" s="130"/>
      <c r="AF108" s="126"/>
      <c r="AG108" s="43"/>
      <c r="AH108" s="44"/>
      <c r="AI108" s="45"/>
      <c r="AJ108" s="46">
        <v>1</v>
      </c>
      <c r="AK108" s="41"/>
      <c r="AL108" s="47"/>
      <c r="AM108" s="48"/>
      <c r="AN108" s="111"/>
      <c r="AO108" s="42"/>
      <c r="AP108" s="42"/>
      <c r="AQ108" s="115"/>
      <c r="AR108" s="75"/>
      <c r="AS108" s="40">
        <f t="shared" si="6"/>
        <v>1</v>
      </c>
      <c r="AT108" s="31" t="s">
        <v>1760</v>
      </c>
      <c r="AW108" s="42">
        <f t="shared" si="12"/>
        <v>-100</v>
      </c>
      <c r="AX108" s="42">
        <f t="shared" si="13"/>
        <v>1</v>
      </c>
      <c r="AY108" s="42">
        <f t="shared" si="14"/>
        <v>2</v>
      </c>
      <c r="AZ108" s="42">
        <f t="shared" si="15"/>
        <v>-1</v>
      </c>
      <c r="BA108" s="42">
        <f>COUNTA(#REF!)</f>
        <v>1</v>
      </c>
      <c r="BB108" s="42">
        <f t="shared" si="16"/>
        <v>0</v>
      </c>
      <c r="BC108" s="42"/>
      <c r="BD108" s="42">
        <v>-2</v>
      </c>
      <c r="BE108" s="42">
        <v>1</v>
      </c>
    </row>
    <row r="109" spans="1:61" ht="19" hidden="1" x14ac:dyDescent="0.35">
      <c r="A109" s="199" t="s">
        <v>2639</v>
      </c>
      <c r="B109" s="199" t="s">
        <v>2058</v>
      </c>
      <c r="C109" s="200" t="s">
        <v>692</v>
      </c>
      <c r="D109" s="200" t="s">
        <v>8</v>
      </c>
      <c r="E109" s="200">
        <v>300</v>
      </c>
      <c r="F109" s="200" t="s">
        <v>1859</v>
      </c>
      <c r="G109" s="85">
        <v>1</v>
      </c>
      <c r="H109" s="86">
        <v>1</v>
      </c>
      <c r="I109" s="87"/>
      <c r="J109" s="88"/>
      <c r="K109" s="89"/>
      <c r="L109" s="90"/>
      <c r="M109" s="165"/>
      <c r="N109" s="134"/>
      <c r="O109" s="45"/>
      <c r="P109" s="130"/>
      <c r="Q109" s="45"/>
      <c r="R109" s="136"/>
      <c r="S109" s="139" t="s">
        <v>12</v>
      </c>
      <c r="T109" s="136"/>
      <c r="U109" s="139"/>
      <c r="V109" s="45" t="s">
        <v>12</v>
      </c>
      <c r="W109" s="136"/>
      <c r="X109" s="134"/>
      <c r="Y109" s="166"/>
      <c r="Z109" s="126"/>
      <c r="AA109" s="130"/>
      <c r="AB109" s="126"/>
      <c r="AC109" s="130"/>
      <c r="AD109" s="126"/>
      <c r="AE109" s="130"/>
      <c r="AF109" s="126"/>
      <c r="AG109" s="43"/>
      <c r="AH109" s="44"/>
      <c r="AI109" s="45"/>
      <c r="AJ109" s="46"/>
      <c r="AK109" s="41">
        <v>1</v>
      </c>
      <c r="AL109" s="47"/>
      <c r="AM109" s="48"/>
      <c r="AN109" s="111"/>
      <c r="AO109" s="42"/>
      <c r="AP109" s="42"/>
      <c r="AQ109" s="115"/>
      <c r="AR109" s="75"/>
      <c r="AS109" s="40">
        <f t="shared" si="6"/>
        <v>1</v>
      </c>
      <c r="AT109" s="31" t="s">
        <v>1748</v>
      </c>
      <c r="AW109" s="42">
        <f t="shared" si="12"/>
        <v>100</v>
      </c>
      <c r="AX109" s="42">
        <f t="shared" si="13"/>
        <v>2</v>
      </c>
      <c r="AY109" s="42">
        <f t="shared" si="14"/>
        <v>2</v>
      </c>
      <c r="AZ109" s="42">
        <f t="shared" si="15"/>
        <v>0</v>
      </c>
      <c r="BA109" s="42">
        <f>COUNTA(#REF!)</f>
        <v>1</v>
      </c>
      <c r="BB109" s="42">
        <f t="shared" si="16"/>
        <v>0</v>
      </c>
      <c r="BC109" s="42"/>
      <c r="BD109" s="42">
        <v>-1</v>
      </c>
      <c r="BE109" s="42">
        <v>0</v>
      </c>
    </row>
    <row r="110" spans="1:61" ht="26" hidden="1" x14ac:dyDescent="0.35">
      <c r="A110" s="199" t="s">
        <v>2639</v>
      </c>
      <c r="B110" s="199" t="s">
        <v>2058</v>
      </c>
      <c r="C110" s="200" t="s">
        <v>2369</v>
      </c>
      <c r="D110" s="200" t="s">
        <v>736</v>
      </c>
      <c r="E110" s="200"/>
      <c r="F110" s="200" t="s">
        <v>1895</v>
      </c>
      <c r="G110" s="85"/>
      <c r="H110" s="86"/>
      <c r="I110" s="87"/>
      <c r="J110" s="88"/>
      <c r="K110" s="89"/>
      <c r="L110" s="90"/>
      <c r="M110" s="165"/>
      <c r="N110" s="134"/>
      <c r="O110" s="45"/>
      <c r="P110" s="130"/>
      <c r="Q110" s="45"/>
      <c r="R110" s="136"/>
      <c r="S110" s="139"/>
      <c r="T110" s="136"/>
      <c r="U110" s="139"/>
      <c r="V110" s="45"/>
      <c r="W110" s="136"/>
      <c r="X110" s="134"/>
      <c r="Y110" s="166"/>
      <c r="Z110" s="126"/>
      <c r="AA110" s="130"/>
      <c r="AB110" s="126"/>
      <c r="AC110" s="130"/>
      <c r="AD110" s="126"/>
      <c r="AE110" s="130"/>
      <c r="AF110" s="126"/>
      <c r="AG110" s="43"/>
      <c r="AH110" s="44"/>
      <c r="AI110" s="45"/>
      <c r="AJ110" s="46"/>
      <c r="AK110" s="41"/>
      <c r="AL110" s="47"/>
      <c r="AM110" s="48"/>
      <c r="AN110" s="111"/>
      <c r="AO110" s="42"/>
      <c r="AP110" s="42"/>
      <c r="AQ110" s="115"/>
      <c r="AR110" s="75">
        <v>1</v>
      </c>
      <c r="AS110" s="40">
        <f t="shared" si="6"/>
        <v>1</v>
      </c>
      <c r="AW110" s="42"/>
      <c r="AX110" s="42"/>
      <c r="AY110" s="42"/>
      <c r="AZ110" s="42"/>
      <c r="BA110" s="42"/>
      <c r="BB110" s="42"/>
      <c r="BC110" s="42"/>
      <c r="BD110" s="42"/>
      <c r="BE110" s="42"/>
    </row>
    <row r="111" spans="1:61" ht="26" hidden="1" x14ac:dyDescent="0.35">
      <c r="A111" s="199" t="s">
        <v>2639</v>
      </c>
      <c r="B111" s="199" t="s">
        <v>2058</v>
      </c>
      <c r="C111" s="200" t="s">
        <v>2370</v>
      </c>
      <c r="D111" s="200" t="s">
        <v>736</v>
      </c>
      <c r="E111" s="200"/>
      <c r="F111" s="200" t="s">
        <v>670</v>
      </c>
      <c r="G111" s="85"/>
      <c r="H111" s="86"/>
      <c r="I111" s="87"/>
      <c r="J111" s="88"/>
      <c r="K111" s="89"/>
      <c r="L111" s="90"/>
      <c r="M111" s="165"/>
      <c r="N111" s="134"/>
      <c r="O111" s="45"/>
      <c r="P111" s="130"/>
      <c r="Q111" s="45"/>
      <c r="R111" s="136"/>
      <c r="S111" s="139"/>
      <c r="T111" s="136"/>
      <c r="U111" s="139"/>
      <c r="V111" s="45"/>
      <c r="W111" s="136"/>
      <c r="X111" s="134"/>
      <c r="Y111" s="166"/>
      <c r="Z111" s="126"/>
      <c r="AA111" s="130"/>
      <c r="AB111" s="126"/>
      <c r="AC111" s="130"/>
      <c r="AD111" s="126"/>
      <c r="AE111" s="130"/>
      <c r="AF111" s="126"/>
      <c r="AG111" s="43"/>
      <c r="AH111" s="44"/>
      <c r="AI111" s="45"/>
      <c r="AJ111" s="46"/>
      <c r="AK111" s="41"/>
      <c r="AL111" s="47"/>
      <c r="AM111" s="48"/>
      <c r="AN111" s="111"/>
      <c r="AO111" s="42"/>
      <c r="AP111" s="42"/>
      <c r="AQ111" s="115"/>
      <c r="AR111" s="75">
        <v>1</v>
      </c>
      <c r="AS111" s="40">
        <f t="shared" si="6"/>
        <v>1</v>
      </c>
      <c r="AW111" s="42"/>
      <c r="AX111" s="42"/>
      <c r="AY111" s="42"/>
      <c r="AZ111" s="42"/>
      <c r="BA111" s="42"/>
      <c r="BB111" s="42"/>
      <c r="BC111" s="42"/>
      <c r="BD111" s="42"/>
      <c r="BE111" s="42"/>
    </row>
    <row r="112" spans="1:61" ht="39" hidden="1" x14ac:dyDescent="0.35">
      <c r="A112" s="199" t="s">
        <v>2639</v>
      </c>
      <c r="B112" s="199" t="s">
        <v>2058</v>
      </c>
      <c r="C112" s="200" t="s">
        <v>704</v>
      </c>
      <c r="D112" s="200" t="s">
        <v>131</v>
      </c>
      <c r="E112" s="200">
        <v>0</v>
      </c>
      <c r="F112" s="200" t="s">
        <v>705</v>
      </c>
      <c r="G112" s="85"/>
      <c r="H112" s="86"/>
      <c r="I112" s="87"/>
      <c r="J112" s="88"/>
      <c r="K112" s="89"/>
      <c r="L112" s="90"/>
      <c r="M112" s="165"/>
      <c r="N112" s="134"/>
      <c r="O112" s="45"/>
      <c r="P112" s="130"/>
      <c r="Q112" s="45"/>
      <c r="R112" s="136"/>
      <c r="S112" s="139"/>
      <c r="T112" s="136"/>
      <c r="U112" s="139"/>
      <c r="V112" s="45"/>
      <c r="W112" s="136"/>
      <c r="X112" s="134"/>
      <c r="Y112" s="166"/>
      <c r="Z112" s="126"/>
      <c r="AA112" s="130"/>
      <c r="AB112" s="126"/>
      <c r="AC112" s="130"/>
      <c r="AD112" s="126"/>
      <c r="AE112" s="130"/>
      <c r="AF112" s="126"/>
      <c r="AG112" s="43"/>
      <c r="AH112" s="44"/>
      <c r="AI112" s="45">
        <v>1</v>
      </c>
      <c r="AJ112" s="46"/>
      <c r="AK112" s="41"/>
      <c r="AL112" s="47"/>
      <c r="AM112" s="48"/>
      <c r="AN112" s="111"/>
      <c r="AO112" s="42"/>
      <c r="AP112" s="42"/>
      <c r="AQ112" s="115"/>
      <c r="AR112" s="75"/>
      <c r="AS112" s="40">
        <f t="shared" si="6"/>
        <v>1</v>
      </c>
      <c r="AW112" s="42"/>
      <c r="AX112" s="42"/>
      <c r="AY112" s="42"/>
      <c r="AZ112" s="42"/>
      <c r="BA112" s="42"/>
      <c r="BB112" s="42"/>
      <c r="BC112" s="42"/>
      <c r="BD112" s="42"/>
      <c r="BE112" s="42"/>
      <c r="BH112" s="31" t="s">
        <v>2258</v>
      </c>
      <c r="BI112" s="31" t="s">
        <v>2248</v>
      </c>
    </row>
    <row r="113" spans="1:62" ht="19" hidden="1" x14ac:dyDescent="0.35">
      <c r="A113" s="199" t="s">
        <v>2639</v>
      </c>
      <c r="B113" s="199" t="s">
        <v>2058</v>
      </c>
      <c r="C113" s="200" t="s">
        <v>1873</v>
      </c>
      <c r="D113" s="200" t="s">
        <v>131</v>
      </c>
      <c r="E113" s="200">
        <v>800</v>
      </c>
      <c r="F113" s="200" t="s">
        <v>1874</v>
      </c>
      <c r="G113" s="85">
        <v>1</v>
      </c>
      <c r="H113" s="86"/>
      <c r="I113" s="87">
        <v>1</v>
      </c>
      <c r="J113" s="88"/>
      <c r="K113" s="89"/>
      <c r="L113" s="90"/>
      <c r="M113" s="165"/>
      <c r="N113" s="134"/>
      <c r="O113" s="45"/>
      <c r="P113" s="130"/>
      <c r="Q113" s="45"/>
      <c r="R113" s="136"/>
      <c r="S113" s="139"/>
      <c r="T113" s="136"/>
      <c r="U113" s="139"/>
      <c r="V113" s="45"/>
      <c r="W113" s="136"/>
      <c r="X113" s="134"/>
      <c r="Y113" s="166"/>
      <c r="Z113" s="126"/>
      <c r="AA113" s="130"/>
      <c r="AB113" s="126"/>
      <c r="AC113" s="130"/>
      <c r="AD113" s="126" t="s">
        <v>12</v>
      </c>
      <c r="AE113" s="130"/>
      <c r="AF113" s="126"/>
      <c r="AG113" s="43"/>
      <c r="AH113" s="44"/>
      <c r="AI113" s="45"/>
      <c r="AJ113" s="46">
        <v>1</v>
      </c>
      <c r="AK113" s="41"/>
      <c r="AL113" s="47"/>
      <c r="AM113" s="48"/>
      <c r="AN113" s="111"/>
      <c r="AO113" s="42"/>
      <c r="AP113" s="42"/>
      <c r="AQ113" s="115"/>
      <c r="AR113" s="75"/>
      <c r="AS113" s="40">
        <f t="shared" si="6"/>
        <v>1</v>
      </c>
      <c r="AW113" s="42"/>
      <c r="AX113" s="42"/>
      <c r="AY113" s="42"/>
      <c r="AZ113" s="42"/>
      <c r="BA113" s="42"/>
      <c r="BB113" s="42"/>
      <c r="BC113" s="42"/>
      <c r="BD113" s="42"/>
      <c r="BE113" s="42"/>
      <c r="BH113" s="31" t="s">
        <v>2257</v>
      </c>
      <c r="BI113" s="31" t="s">
        <v>2248</v>
      </c>
      <c r="BJ113" s="31" t="s">
        <v>12</v>
      </c>
    </row>
    <row r="114" spans="1:62" ht="26" hidden="1" x14ac:dyDescent="0.35">
      <c r="A114" s="199" t="s">
        <v>2639</v>
      </c>
      <c r="B114" s="199" t="s">
        <v>2058</v>
      </c>
      <c r="C114" s="200" t="s">
        <v>693</v>
      </c>
      <c r="D114" s="200" t="s">
        <v>131</v>
      </c>
      <c r="E114" s="200">
        <v>800</v>
      </c>
      <c r="F114" s="200" t="s">
        <v>1855</v>
      </c>
      <c r="G114" s="85"/>
      <c r="H114" s="86"/>
      <c r="I114" s="87"/>
      <c r="J114" s="88"/>
      <c r="K114" s="89"/>
      <c r="L114" s="90"/>
      <c r="M114" s="165"/>
      <c r="N114" s="134"/>
      <c r="O114" s="45"/>
      <c r="P114" s="130"/>
      <c r="Q114" s="45"/>
      <c r="R114" s="136"/>
      <c r="S114" s="139"/>
      <c r="T114" s="136"/>
      <c r="U114" s="139"/>
      <c r="V114" s="45"/>
      <c r="W114" s="136"/>
      <c r="X114" s="134"/>
      <c r="Y114" s="166"/>
      <c r="Z114" s="126"/>
      <c r="AA114" s="130"/>
      <c r="AB114" s="126"/>
      <c r="AC114" s="130"/>
      <c r="AD114" s="126"/>
      <c r="AE114" s="130"/>
      <c r="AF114" s="126"/>
      <c r="AG114" s="43"/>
      <c r="AH114" s="44"/>
      <c r="AI114" s="45"/>
      <c r="AJ114" s="46"/>
      <c r="AK114" s="41">
        <v>2</v>
      </c>
      <c r="AL114" s="47"/>
      <c r="AM114" s="48"/>
      <c r="AN114" s="111"/>
      <c r="AO114" s="42"/>
      <c r="AP114" s="42"/>
      <c r="AQ114" s="115"/>
      <c r="AR114" s="75"/>
      <c r="AS114" s="40">
        <f t="shared" si="6"/>
        <v>2</v>
      </c>
      <c r="AW114" s="42"/>
      <c r="AX114" s="42"/>
      <c r="AY114" s="42"/>
      <c r="AZ114" s="42"/>
      <c r="BA114" s="42"/>
      <c r="BB114" s="42"/>
      <c r="BC114" s="42"/>
      <c r="BD114" s="42"/>
      <c r="BE114" s="42"/>
      <c r="BH114" s="31" t="s">
        <v>2252</v>
      </c>
      <c r="BI114" s="31" t="s">
        <v>2248</v>
      </c>
    </row>
    <row r="115" spans="1:62" ht="26" hidden="1" x14ac:dyDescent="0.35">
      <c r="A115" s="199" t="s">
        <v>2639</v>
      </c>
      <c r="B115" s="199" t="s">
        <v>2058</v>
      </c>
      <c r="C115" s="200" t="s">
        <v>696</v>
      </c>
      <c r="D115" s="200" t="s">
        <v>131</v>
      </c>
      <c r="E115" s="200">
        <v>600</v>
      </c>
      <c r="F115" s="200" t="s">
        <v>697</v>
      </c>
      <c r="G115" s="85">
        <v>1</v>
      </c>
      <c r="H115" s="86"/>
      <c r="I115" s="87"/>
      <c r="J115" s="88"/>
      <c r="K115" s="89"/>
      <c r="L115" s="90"/>
      <c r="M115" s="165"/>
      <c r="N115" s="134"/>
      <c r="O115" s="45"/>
      <c r="P115" s="130"/>
      <c r="Q115" s="45"/>
      <c r="R115" s="136"/>
      <c r="S115" s="139"/>
      <c r="T115" s="136"/>
      <c r="U115" s="139"/>
      <c r="V115" s="45"/>
      <c r="W115" s="136"/>
      <c r="X115" s="134"/>
      <c r="Y115" s="166"/>
      <c r="Z115" s="126"/>
      <c r="AA115" s="130"/>
      <c r="AB115" s="126"/>
      <c r="AC115" s="130"/>
      <c r="AD115" s="126" t="s">
        <v>12</v>
      </c>
      <c r="AE115" s="130"/>
      <c r="AF115" s="126"/>
      <c r="AG115" s="43"/>
      <c r="AH115" s="44">
        <v>1</v>
      </c>
      <c r="AI115" s="45"/>
      <c r="AJ115" s="46"/>
      <c r="AK115" s="41"/>
      <c r="AL115" s="47"/>
      <c r="AM115" s="48"/>
      <c r="AN115" s="111"/>
      <c r="AO115" s="42"/>
      <c r="AP115" s="42"/>
      <c r="AQ115" s="115"/>
      <c r="AR115" s="75"/>
      <c r="AS115" s="40">
        <f t="shared" si="6"/>
        <v>1</v>
      </c>
      <c r="AW115" s="42"/>
      <c r="AX115" s="42"/>
      <c r="AY115" s="42"/>
      <c r="AZ115" s="42"/>
      <c r="BA115" s="42"/>
      <c r="BB115" s="42"/>
      <c r="BC115" s="42"/>
      <c r="BD115" s="42"/>
      <c r="BE115" s="42"/>
      <c r="BH115" s="31" t="s">
        <v>2253</v>
      </c>
      <c r="BI115" s="31" t="s">
        <v>2248</v>
      </c>
    </row>
    <row r="116" spans="1:62" ht="26" hidden="1" x14ac:dyDescent="0.35">
      <c r="A116" s="199" t="s">
        <v>2639</v>
      </c>
      <c r="B116" s="199" t="s">
        <v>2058</v>
      </c>
      <c r="C116" s="200" t="s">
        <v>680</v>
      </c>
      <c r="D116" s="200" t="s">
        <v>131</v>
      </c>
      <c r="E116" s="200">
        <v>1000</v>
      </c>
      <c r="F116" s="200" t="s">
        <v>569</v>
      </c>
      <c r="G116" s="85">
        <v>1</v>
      </c>
      <c r="H116" s="86">
        <v>1</v>
      </c>
      <c r="I116" s="87"/>
      <c r="J116" s="88"/>
      <c r="K116" s="89"/>
      <c r="L116" s="90"/>
      <c r="M116" s="165"/>
      <c r="N116" s="134"/>
      <c r="O116" s="45"/>
      <c r="P116" s="130"/>
      <c r="Q116" s="45"/>
      <c r="R116" s="136"/>
      <c r="S116" s="139"/>
      <c r="T116" s="136"/>
      <c r="U116" s="139"/>
      <c r="V116" s="45"/>
      <c r="W116" s="136"/>
      <c r="X116" s="134"/>
      <c r="Y116" s="166"/>
      <c r="Z116" s="126"/>
      <c r="AA116" s="130"/>
      <c r="AB116" s="126"/>
      <c r="AC116" s="130"/>
      <c r="AD116" s="126"/>
      <c r="AE116" s="130"/>
      <c r="AF116" s="126"/>
      <c r="AG116" s="43">
        <v>1</v>
      </c>
      <c r="AH116" s="44"/>
      <c r="AI116" s="45"/>
      <c r="AJ116" s="46"/>
      <c r="AK116" s="41"/>
      <c r="AL116" s="47"/>
      <c r="AM116" s="48"/>
      <c r="AN116" s="111"/>
      <c r="AO116" s="42"/>
      <c r="AP116" s="42"/>
      <c r="AQ116" s="115"/>
      <c r="AR116" s="75"/>
      <c r="AS116" s="40">
        <f t="shared" si="6"/>
        <v>1</v>
      </c>
      <c r="AW116" s="42"/>
      <c r="AX116" s="42"/>
      <c r="AY116" s="42"/>
      <c r="AZ116" s="42"/>
      <c r="BA116" s="42"/>
      <c r="BB116" s="42"/>
      <c r="BC116" s="42"/>
      <c r="BD116" s="42"/>
      <c r="BE116" s="42"/>
      <c r="BH116" s="31" t="s">
        <v>2265</v>
      </c>
      <c r="BI116" s="31" t="s">
        <v>2248</v>
      </c>
      <c r="BJ116" s="31" t="s">
        <v>12</v>
      </c>
    </row>
    <row r="117" spans="1:62" ht="26" hidden="1" x14ac:dyDescent="0.35">
      <c r="A117" s="199" t="s">
        <v>2639</v>
      </c>
      <c r="B117" s="199" t="s">
        <v>2058</v>
      </c>
      <c r="C117" s="200" t="s">
        <v>709</v>
      </c>
      <c r="D117" s="200" t="s">
        <v>131</v>
      </c>
      <c r="E117" s="200">
        <v>1000</v>
      </c>
      <c r="F117" s="200" t="s">
        <v>710</v>
      </c>
      <c r="G117" s="85"/>
      <c r="H117" s="86"/>
      <c r="I117" s="87"/>
      <c r="J117" s="88"/>
      <c r="K117" s="89"/>
      <c r="L117" s="90"/>
      <c r="M117" s="165"/>
      <c r="N117" s="134"/>
      <c r="O117" s="45"/>
      <c r="P117" s="130"/>
      <c r="Q117" s="45"/>
      <c r="R117" s="136"/>
      <c r="S117" s="139"/>
      <c r="T117" s="136"/>
      <c r="U117" s="139"/>
      <c r="V117" s="45"/>
      <c r="W117" s="136"/>
      <c r="X117" s="134"/>
      <c r="Y117" s="166"/>
      <c r="Z117" s="126"/>
      <c r="AA117" s="130"/>
      <c r="AB117" s="126" t="s">
        <v>12</v>
      </c>
      <c r="AC117" s="130"/>
      <c r="AD117" s="126"/>
      <c r="AE117" s="130"/>
      <c r="AF117" s="126"/>
      <c r="AG117" s="43">
        <v>1</v>
      </c>
      <c r="AH117" s="44"/>
      <c r="AI117" s="45"/>
      <c r="AJ117" s="46"/>
      <c r="AK117" s="41"/>
      <c r="AL117" s="47"/>
      <c r="AM117" s="48"/>
      <c r="AN117" s="111"/>
      <c r="AO117" s="42"/>
      <c r="AP117" s="42"/>
      <c r="AQ117" s="115"/>
      <c r="AR117" s="75"/>
      <c r="AS117" s="40">
        <f t="shared" si="6"/>
        <v>1</v>
      </c>
      <c r="AW117" s="42"/>
      <c r="AX117" s="42"/>
      <c r="AY117" s="42"/>
      <c r="AZ117" s="42"/>
      <c r="BA117" s="42"/>
      <c r="BB117" s="42"/>
      <c r="BC117" s="42"/>
      <c r="BD117" s="42"/>
      <c r="BE117" s="42"/>
      <c r="BH117" s="31" t="s">
        <v>2265</v>
      </c>
      <c r="BI117" s="31" t="s">
        <v>2248</v>
      </c>
      <c r="BJ117" s="31" t="s">
        <v>12</v>
      </c>
    </row>
    <row r="118" spans="1:62" ht="19" hidden="1" x14ac:dyDescent="0.35">
      <c r="A118" s="199" t="s">
        <v>2639</v>
      </c>
      <c r="B118" s="199" t="s">
        <v>2058</v>
      </c>
      <c r="C118" s="200" t="s">
        <v>679</v>
      </c>
      <c r="D118" s="200" t="s">
        <v>131</v>
      </c>
      <c r="E118" s="200">
        <v>600</v>
      </c>
      <c r="F118" s="201" t="s">
        <v>1889</v>
      </c>
      <c r="G118" s="85">
        <v>1</v>
      </c>
      <c r="H118" s="86"/>
      <c r="I118" s="87"/>
      <c r="J118" s="88"/>
      <c r="K118" s="89"/>
      <c r="L118" s="90"/>
      <c r="M118" s="165"/>
      <c r="N118" s="134"/>
      <c r="O118" s="45"/>
      <c r="P118" s="130"/>
      <c r="Q118" s="45"/>
      <c r="R118" s="136"/>
      <c r="S118" s="139"/>
      <c r="T118" s="136"/>
      <c r="U118" s="139"/>
      <c r="V118" s="45"/>
      <c r="W118" s="136"/>
      <c r="X118" s="134"/>
      <c r="Y118" s="166"/>
      <c r="Z118" s="126"/>
      <c r="AA118" s="130"/>
      <c r="AB118" s="126"/>
      <c r="AC118" s="130"/>
      <c r="AD118" s="126" t="s">
        <v>12</v>
      </c>
      <c r="AE118" s="130"/>
      <c r="AF118" s="126"/>
      <c r="AG118" s="43">
        <v>1</v>
      </c>
      <c r="AH118" s="44"/>
      <c r="AI118" s="45"/>
      <c r="AJ118" s="46"/>
      <c r="AK118" s="41"/>
      <c r="AL118" s="47"/>
      <c r="AM118" s="48"/>
      <c r="AN118" s="111"/>
      <c r="AO118" s="42"/>
      <c r="AP118" s="42"/>
      <c r="AQ118" s="115"/>
      <c r="AR118" s="75"/>
      <c r="AS118" s="40">
        <f t="shared" si="6"/>
        <v>1</v>
      </c>
      <c r="AW118" s="42"/>
      <c r="AX118" s="42"/>
      <c r="AY118" s="42"/>
      <c r="AZ118" s="42"/>
      <c r="BA118" s="42"/>
      <c r="BB118" s="42"/>
      <c r="BC118" s="42"/>
      <c r="BD118" s="42"/>
      <c r="BE118" s="42"/>
      <c r="BH118" s="31" t="s">
        <v>2265</v>
      </c>
      <c r="BI118" s="31" t="s">
        <v>2248</v>
      </c>
      <c r="BJ118" s="31" t="s">
        <v>12</v>
      </c>
    </row>
    <row r="119" spans="1:62" ht="26" hidden="1" x14ac:dyDescent="0.35">
      <c r="A119" s="199" t="s">
        <v>2639</v>
      </c>
      <c r="B119" s="199" t="s">
        <v>2058</v>
      </c>
      <c r="C119" s="200" t="s">
        <v>1865</v>
      </c>
      <c r="D119" s="200" t="s">
        <v>131</v>
      </c>
      <c r="E119" s="200">
        <v>1000</v>
      </c>
      <c r="F119" s="200" t="s">
        <v>1864</v>
      </c>
      <c r="G119" s="85"/>
      <c r="H119" s="86"/>
      <c r="I119" s="87">
        <v>1</v>
      </c>
      <c r="J119" s="88"/>
      <c r="K119" s="89"/>
      <c r="L119" s="90"/>
      <c r="M119" s="165"/>
      <c r="N119" s="134"/>
      <c r="O119" s="45"/>
      <c r="P119" s="130"/>
      <c r="Q119" s="45"/>
      <c r="R119" s="136"/>
      <c r="S119" s="139"/>
      <c r="T119" s="136"/>
      <c r="U119" s="139"/>
      <c r="V119" s="45"/>
      <c r="W119" s="136"/>
      <c r="X119" s="134"/>
      <c r="Y119" s="166"/>
      <c r="Z119" s="126"/>
      <c r="AA119" s="130" t="s">
        <v>12</v>
      </c>
      <c r="AB119" s="126"/>
      <c r="AC119" s="130"/>
      <c r="AD119" s="126"/>
      <c r="AE119" s="130"/>
      <c r="AF119" s="126"/>
      <c r="AG119" s="43"/>
      <c r="AH119" s="44">
        <v>1</v>
      </c>
      <c r="AI119" s="45"/>
      <c r="AJ119" s="46"/>
      <c r="AK119" s="41"/>
      <c r="AL119" s="47"/>
      <c r="AM119" s="48"/>
      <c r="AN119" s="111"/>
      <c r="AO119" s="42"/>
      <c r="AP119" s="42"/>
      <c r="AQ119" s="115"/>
      <c r="AR119" s="75"/>
      <c r="AS119" s="40">
        <f t="shared" si="6"/>
        <v>1</v>
      </c>
      <c r="AW119" s="42"/>
      <c r="AX119" s="42"/>
      <c r="AY119" s="42"/>
      <c r="AZ119" s="42"/>
      <c r="BA119" s="42"/>
      <c r="BB119" s="42"/>
      <c r="BC119" s="42"/>
      <c r="BD119" s="42"/>
      <c r="BE119" s="42"/>
      <c r="BH119" s="31" t="s">
        <v>2253</v>
      </c>
      <c r="BI119" s="31" t="s">
        <v>2248</v>
      </c>
    </row>
    <row r="120" spans="1:62" ht="26" hidden="1" x14ac:dyDescent="0.35">
      <c r="A120" s="199" t="s">
        <v>2639</v>
      </c>
      <c r="B120" s="199" t="s">
        <v>2058</v>
      </c>
      <c r="C120" s="200" t="s">
        <v>1894</v>
      </c>
      <c r="D120" s="200" t="s">
        <v>136</v>
      </c>
      <c r="E120" s="200"/>
      <c r="F120" s="200" t="s">
        <v>682</v>
      </c>
      <c r="G120" s="85"/>
      <c r="H120" s="86">
        <v>1</v>
      </c>
      <c r="I120" s="87">
        <v>2</v>
      </c>
      <c r="J120" s="88"/>
      <c r="K120" s="89"/>
      <c r="L120" s="90"/>
      <c r="M120" s="165"/>
      <c r="N120" s="134"/>
      <c r="O120" s="45"/>
      <c r="P120" s="130"/>
      <c r="Q120" s="45"/>
      <c r="R120" s="136"/>
      <c r="S120" s="139"/>
      <c r="T120" s="136"/>
      <c r="U120" s="139"/>
      <c r="V120" s="45"/>
      <c r="W120" s="136"/>
      <c r="X120" s="134"/>
      <c r="Y120" s="166"/>
      <c r="Z120" s="126"/>
      <c r="AA120" s="130"/>
      <c r="AB120" s="126" t="s">
        <v>12</v>
      </c>
      <c r="AC120" s="130"/>
      <c r="AD120" s="126"/>
      <c r="AE120" s="130"/>
      <c r="AF120" s="126"/>
      <c r="AG120" s="43"/>
      <c r="AH120" s="44"/>
      <c r="AI120" s="45"/>
      <c r="AJ120" s="46"/>
      <c r="AK120" s="41"/>
      <c r="AL120" s="47"/>
      <c r="AM120" s="48"/>
      <c r="AN120" s="111"/>
      <c r="AO120" s="42"/>
      <c r="AP120" s="42"/>
      <c r="AQ120" s="115"/>
      <c r="AR120" s="75">
        <v>1</v>
      </c>
      <c r="AS120" s="40">
        <f t="shared" si="6"/>
        <v>1</v>
      </c>
      <c r="AW120" s="40"/>
      <c r="AX120" s="40"/>
      <c r="AY120" s="40"/>
      <c r="AZ120" s="42"/>
      <c r="BA120" s="42"/>
      <c r="BB120" s="42"/>
      <c r="BC120" s="42"/>
      <c r="BD120" s="42"/>
      <c r="BE120" s="42"/>
    </row>
    <row r="121" spans="1:62" ht="26" hidden="1" x14ac:dyDescent="0.35">
      <c r="A121" s="199" t="s">
        <v>2639</v>
      </c>
      <c r="B121" s="199" t="s">
        <v>2058</v>
      </c>
      <c r="C121" s="200" t="s">
        <v>678</v>
      </c>
      <c r="D121" s="200" t="s">
        <v>136</v>
      </c>
      <c r="E121" s="200"/>
      <c r="F121" s="200" t="s">
        <v>1893</v>
      </c>
      <c r="G121" s="85">
        <v>1</v>
      </c>
      <c r="H121" s="86">
        <v>1</v>
      </c>
      <c r="I121" s="87">
        <v>1</v>
      </c>
      <c r="J121" s="88"/>
      <c r="K121" s="89"/>
      <c r="L121" s="90"/>
      <c r="M121" s="165"/>
      <c r="N121" s="134"/>
      <c r="O121" s="45"/>
      <c r="P121" s="130"/>
      <c r="Q121" s="45"/>
      <c r="R121" s="136"/>
      <c r="S121" s="139"/>
      <c r="T121" s="136"/>
      <c r="U121" s="139" t="s">
        <v>12</v>
      </c>
      <c r="V121" s="45"/>
      <c r="W121" s="136"/>
      <c r="X121" s="134"/>
      <c r="Y121" s="166"/>
      <c r="Z121" s="126"/>
      <c r="AA121" s="130"/>
      <c r="AB121" s="126"/>
      <c r="AC121" s="130"/>
      <c r="AD121" s="126"/>
      <c r="AE121" s="130"/>
      <c r="AF121" s="126"/>
      <c r="AG121" s="43"/>
      <c r="AH121" s="44"/>
      <c r="AI121" s="45"/>
      <c r="AJ121" s="46"/>
      <c r="AK121" s="41"/>
      <c r="AL121" s="47"/>
      <c r="AM121" s="48"/>
      <c r="AN121" s="111"/>
      <c r="AO121" s="42"/>
      <c r="AP121" s="42"/>
      <c r="AQ121" s="115"/>
      <c r="AR121" s="75">
        <v>1</v>
      </c>
      <c r="AS121" s="40">
        <f t="shared" si="6"/>
        <v>1</v>
      </c>
      <c r="AW121" s="40"/>
      <c r="AX121" s="40"/>
      <c r="AY121" s="40"/>
      <c r="AZ121" s="42"/>
      <c r="BA121" s="42"/>
      <c r="BB121" s="42"/>
      <c r="BC121" s="42"/>
      <c r="BD121" s="42"/>
      <c r="BE121" s="42"/>
    </row>
    <row r="122" spans="1:62" ht="26" hidden="1" x14ac:dyDescent="0.35">
      <c r="A122" s="199" t="s">
        <v>2639</v>
      </c>
      <c r="B122" s="199" t="s">
        <v>2058</v>
      </c>
      <c r="C122" s="200" t="s">
        <v>694</v>
      </c>
      <c r="D122" s="200" t="s">
        <v>5</v>
      </c>
      <c r="E122" s="200">
        <v>600</v>
      </c>
      <c r="F122" s="201" t="s">
        <v>1861</v>
      </c>
      <c r="G122" s="189"/>
      <c r="H122" s="190"/>
      <c r="I122" s="191"/>
      <c r="J122" s="192"/>
      <c r="K122" s="193"/>
      <c r="L122" s="41"/>
      <c r="M122" s="165"/>
      <c r="N122" s="134"/>
      <c r="O122" s="45"/>
      <c r="P122" s="130"/>
      <c r="Q122" s="45"/>
      <c r="R122" s="136"/>
      <c r="S122" s="139"/>
      <c r="T122" s="136"/>
      <c r="U122" s="139"/>
      <c r="V122" s="45"/>
      <c r="W122" s="136"/>
      <c r="X122" s="134"/>
      <c r="Y122" s="166"/>
      <c r="Z122" s="126"/>
      <c r="AA122" s="130"/>
      <c r="AB122" s="126"/>
      <c r="AC122" s="130"/>
      <c r="AD122" s="126"/>
      <c r="AE122" s="130"/>
      <c r="AF122" s="126" t="s">
        <v>37</v>
      </c>
      <c r="AG122" s="43"/>
      <c r="AH122" s="44">
        <v>2</v>
      </c>
      <c r="AI122" s="45"/>
      <c r="AJ122" s="46"/>
      <c r="AK122" s="41"/>
      <c r="AL122" s="47"/>
      <c r="AM122" s="48"/>
      <c r="AN122" s="111"/>
      <c r="AO122" s="42"/>
      <c r="AP122" s="42"/>
      <c r="AQ122" s="115"/>
      <c r="AR122" s="75"/>
      <c r="AS122" s="40">
        <f t="shared" si="6"/>
        <v>2</v>
      </c>
      <c r="AW122" s="42"/>
      <c r="AX122" s="42"/>
      <c r="AY122" s="42"/>
      <c r="AZ122" s="42"/>
      <c r="BA122" s="42"/>
      <c r="BB122" s="42"/>
      <c r="BC122" s="42"/>
      <c r="BD122" s="42"/>
      <c r="BE122" s="42"/>
      <c r="BH122" s="31" t="s">
        <v>2253</v>
      </c>
      <c r="BI122" s="31" t="s">
        <v>2248</v>
      </c>
    </row>
    <row r="123" spans="1:62" ht="26" hidden="1" x14ac:dyDescent="0.35">
      <c r="A123" s="199" t="s">
        <v>2639</v>
      </c>
      <c r="B123" s="199" t="s">
        <v>2058</v>
      </c>
      <c r="C123" s="200" t="s">
        <v>695</v>
      </c>
      <c r="D123" s="200" t="s">
        <v>5</v>
      </c>
      <c r="E123" s="200">
        <v>600</v>
      </c>
      <c r="F123" s="200" t="s">
        <v>1863</v>
      </c>
      <c r="G123" s="189"/>
      <c r="H123" s="190"/>
      <c r="I123" s="191"/>
      <c r="J123" s="192"/>
      <c r="K123" s="193"/>
      <c r="L123" s="41"/>
      <c r="M123" s="165"/>
      <c r="N123" s="134"/>
      <c r="O123" s="45"/>
      <c r="P123" s="130"/>
      <c r="Q123" s="45"/>
      <c r="R123" s="136"/>
      <c r="S123" s="139"/>
      <c r="T123" s="136"/>
      <c r="U123" s="139"/>
      <c r="V123" s="45"/>
      <c r="W123" s="136"/>
      <c r="X123" s="134"/>
      <c r="Y123" s="166"/>
      <c r="Z123" s="126"/>
      <c r="AA123" s="130"/>
      <c r="AB123" s="126"/>
      <c r="AC123" s="130"/>
      <c r="AD123" s="126"/>
      <c r="AE123" s="130"/>
      <c r="AF123" s="126"/>
      <c r="AG123" s="43"/>
      <c r="AH123" s="44">
        <v>1</v>
      </c>
      <c r="AI123" s="45"/>
      <c r="AJ123" s="46"/>
      <c r="AK123" s="41"/>
      <c r="AL123" s="47"/>
      <c r="AM123" s="48"/>
      <c r="AN123" s="111"/>
      <c r="AO123" s="42"/>
      <c r="AP123" s="42"/>
      <c r="AQ123" s="115"/>
      <c r="AR123" s="75"/>
      <c r="AS123" s="40">
        <f t="shared" si="6"/>
        <v>1</v>
      </c>
      <c r="AW123" s="42"/>
      <c r="AX123" s="42"/>
      <c r="AY123" s="42"/>
      <c r="AZ123" s="42"/>
      <c r="BA123" s="42"/>
      <c r="BB123" s="42"/>
      <c r="BC123" s="42"/>
      <c r="BD123" s="42"/>
      <c r="BE123" s="42"/>
      <c r="BH123" s="31" t="s">
        <v>2253</v>
      </c>
      <c r="BI123" s="31" t="s">
        <v>2248</v>
      </c>
    </row>
    <row r="124" spans="1:62" ht="39" hidden="1" x14ac:dyDescent="0.35">
      <c r="A124" s="199" t="s">
        <v>2639</v>
      </c>
      <c r="B124" s="199" t="s">
        <v>2058</v>
      </c>
      <c r="C124" s="200" t="s">
        <v>691</v>
      </c>
      <c r="D124" s="200" t="s">
        <v>5</v>
      </c>
      <c r="E124" s="200">
        <v>800</v>
      </c>
      <c r="F124" s="200" t="s">
        <v>1851</v>
      </c>
      <c r="G124" s="85"/>
      <c r="H124" s="86"/>
      <c r="I124" s="87"/>
      <c r="J124" s="88"/>
      <c r="K124" s="89"/>
      <c r="L124" s="90"/>
      <c r="M124" s="165"/>
      <c r="N124" s="134"/>
      <c r="O124" s="45"/>
      <c r="P124" s="130"/>
      <c r="Q124" s="45"/>
      <c r="R124" s="136"/>
      <c r="S124" s="139"/>
      <c r="T124" s="136"/>
      <c r="U124" s="139"/>
      <c r="V124" s="45"/>
      <c r="W124" s="136"/>
      <c r="X124" s="134"/>
      <c r="Y124" s="166"/>
      <c r="Z124" s="126"/>
      <c r="AA124" s="130"/>
      <c r="AB124" s="126"/>
      <c r="AC124" s="130"/>
      <c r="AD124" s="126"/>
      <c r="AE124" s="130"/>
      <c r="AF124" s="126"/>
      <c r="AG124" s="43"/>
      <c r="AH124" s="44"/>
      <c r="AI124" s="45"/>
      <c r="AJ124" s="46"/>
      <c r="AK124" s="41">
        <v>2</v>
      </c>
      <c r="AL124" s="47"/>
      <c r="AM124" s="48"/>
      <c r="AN124" s="111"/>
      <c r="AO124" s="42"/>
      <c r="AP124" s="42"/>
      <c r="AQ124" s="115"/>
      <c r="AR124" s="75"/>
      <c r="AS124" s="40">
        <f t="shared" si="6"/>
        <v>2</v>
      </c>
      <c r="AW124" s="42"/>
      <c r="AX124" s="42"/>
      <c r="AY124" s="42"/>
      <c r="AZ124" s="42"/>
      <c r="BA124" s="42"/>
      <c r="BB124" s="42"/>
      <c r="BC124" s="42"/>
      <c r="BD124" s="42"/>
      <c r="BE124" s="42"/>
      <c r="BH124" s="31" t="s">
        <v>2252</v>
      </c>
      <c r="BI124" s="31" t="s">
        <v>2248</v>
      </c>
    </row>
    <row r="125" spans="1:62" ht="26" hidden="1" x14ac:dyDescent="0.35">
      <c r="A125" s="199" t="s">
        <v>2639</v>
      </c>
      <c r="B125" s="199" t="s">
        <v>2058</v>
      </c>
      <c r="C125" s="200" t="s">
        <v>674</v>
      </c>
      <c r="D125" s="200" t="s">
        <v>5</v>
      </c>
      <c r="E125" s="200">
        <v>600</v>
      </c>
      <c r="F125" s="201" t="s">
        <v>1891</v>
      </c>
      <c r="G125" s="189"/>
      <c r="H125" s="190"/>
      <c r="I125" s="191"/>
      <c r="J125" s="192"/>
      <c r="K125" s="193"/>
      <c r="L125" s="41"/>
      <c r="M125" s="165"/>
      <c r="N125" s="134"/>
      <c r="O125" s="45"/>
      <c r="P125" s="130"/>
      <c r="Q125" s="45"/>
      <c r="R125" s="136"/>
      <c r="S125" s="139"/>
      <c r="T125" s="136"/>
      <c r="U125" s="139"/>
      <c r="V125" s="45"/>
      <c r="W125" s="136"/>
      <c r="X125" s="134"/>
      <c r="Y125" s="166"/>
      <c r="Z125" s="126"/>
      <c r="AA125" s="130"/>
      <c r="AB125" s="126"/>
      <c r="AC125" s="130"/>
      <c r="AD125" s="126"/>
      <c r="AE125" s="130"/>
      <c r="AF125" s="126"/>
      <c r="AG125" s="43">
        <v>2</v>
      </c>
      <c r="AH125" s="44"/>
      <c r="AI125" s="45"/>
      <c r="AJ125" s="46"/>
      <c r="AK125" s="41"/>
      <c r="AL125" s="47"/>
      <c r="AM125" s="48"/>
      <c r="AN125" s="111"/>
      <c r="AO125" s="42"/>
      <c r="AP125" s="42"/>
      <c r="AQ125" s="115"/>
      <c r="AR125" s="75"/>
      <c r="AS125" s="40">
        <f t="shared" si="6"/>
        <v>2</v>
      </c>
      <c r="AW125" s="42"/>
      <c r="AX125" s="42"/>
      <c r="AY125" s="42"/>
      <c r="AZ125" s="42"/>
      <c r="BA125" s="42"/>
      <c r="BB125" s="42"/>
      <c r="BC125" s="42"/>
      <c r="BD125" s="42"/>
      <c r="BE125" s="42"/>
      <c r="BH125" s="31" t="s">
        <v>2266</v>
      </c>
      <c r="BI125" s="31" t="s">
        <v>2248</v>
      </c>
    </row>
    <row r="126" spans="1:62" ht="39" hidden="1" x14ac:dyDescent="0.35">
      <c r="A126" s="199" t="s">
        <v>2639</v>
      </c>
      <c r="B126" s="199" t="s">
        <v>2058</v>
      </c>
      <c r="C126" s="200" t="s">
        <v>673</v>
      </c>
      <c r="D126" s="200" t="s">
        <v>5</v>
      </c>
      <c r="E126" s="200">
        <v>800</v>
      </c>
      <c r="F126" s="201" t="s">
        <v>1878</v>
      </c>
      <c r="G126" s="85"/>
      <c r="H126" s="86"/>
      <c r="I126" s="87"/>
      <c r="J126" s="88"/>
      <c r="K126" s="89"/>
      <c r="L126" s="90"/>
      <c r="M126" s="165"/>
      <c r="N126" s="134"/>
      <c r="O126" s="45"/>
      <c r="P126" s="130"/>
      <c r="Q126" s="45"/>
      <c r="R126" s="136"/>
      <c r="S126" s="139"/>
      <c r="T126" s="136"/>
      <c r="U126" s="139"/>
      <c r="V126" s="45"/>
      <c r="W126" s="136"/>
      <c r="X126" s="134"/>
      <c r="Y126" s="166"/>
      <c r="Z126" s="126"/>
      <c r="AA126" s="130"/>
      <c r="AB126" s="126"/>
      <c r="AC126" s="130"/>
      <c r="AD126" s="126"/>
      <c r="AE126" s="130"/>
      <c r="AF126" s="126"/>
      <c r="AG126" s="43"/>
      <c r="AH126" s="44"/>
      <c r="AI126" s="45"/>
      <c r="AJ126" s="46">
        <v>1</v>
      </c>
      <c r="AK126" s="41"/>
      <c r="AL126" s="47"/>
      <c r="AM126" s="48"/>
      <c r="AN126" s="111"/>
      <c r="AO126" s="42"/>
      <c r="AP126" s="42"/>
      <c r="AQ126" s="115"/>
      <c r="AR126" s="75"/>
      <c r="AS126" s="40">
        <f t="shared" si="6"/>
        <v>1</v>
      </c>
      <c r="AW126" s="42"/>
      <c r="AX126" s="42"/>
      <c r="AY126" s="42"/>
      <c r="AZ126" s="42"/>
      <c r="BA126" s="42"/>
      <c r="BB126" s="42"/>
      <c r="BC126" s="42"/>
      <c r="BD126" s="42"/>
      <c r="BE126" s="42"/>
      <c r="BH126" s="31" t="s">
        <v>2256</v>
      </c>
      <c r="BI126" s="31" t="s">
        <v>2248</v>
      </c>
    </row>
    <row r="127" spans="1:62" ht="26" hidden="1" x14ac:dyDescent="0.35">
      <c r="A127" s="199" t="s">
        <v>2639</v>
      </c>
      <c r="B127" s="199" t="s">
        <v>2056</v>
      </c>
      <c r="C127" s="200" t="s">
        <v>809</v>
      </c>
      <c r="D127" s="200" t="s">
        <v>8</v>
      </c>
      <c r="E127" s="200">
        <v>300</v>
      </c>
      <c r="F127" s="200" t="s">
        <v>1841</v>
      </c>
      <c r="G127" s="85">
        <v>1</v>
      </c>
      <c r="H127" s="86">
        <v>1</v>
      </c>
      <c r="I127" s="87"/>
      <c r="J127" s="88"/>
      <c r="K127" s="89"/>
      <c r="L127" s="90"/>
      <c r="M127" s="165"/>
      <c r="N127" s="134"/>
      <c r="O127" s="45"/>
      <c r="P127" s="130"/>
      <c r="Q127" s="45"/>
      <c r="R127" s="136" t="s">
        <v>12</v>
      </c>
      <c r="S127" s="139"/>
      <c r="T127" s="136"/>
      <c r="U127" s="139"/>
      <c r="V127" s="45" t="s">
        <v>12</v>
      </c>
      <c r="W127" s="136"/>
      <c r="X127" s="134"/>
      <c r="Y127" s="166"/>
      <c r="Z127" s="126"/>
      <c r="AA127" s="130"/>
      <c r="AB127" s="126"/>
      <c r="AC127" s="130"/>
      <c r="AD127" s="126"/>
      <c r="AE127" s="130"/>
      <c r="AF127" s="126"/>
      <c r="AG127" s="43"/>
      <c r="AH127" s="44"/>
      <c r="AI127" s="45"/>
      <c r="AJ127" s="46"/>
      <c r="AK127" s="41"/>
      <c r="AL127" s="47">
        <v>1</v>
      </c>
      <c r="AM127" s="48"/>
      <c r="AN127" s="111"/>
      <c r="AO127" s="42"/>
      <c r="AP127" s="42"/>
      <c r="AQ127" s="115"/>
      <c r="AR127" s="75"/>
      <c r="AS127" s="40">
        <f t="shared" si="6"/>
        <v>1</v>
      </c>
      <c r="AT127" s="31" t="s">
        <v>1749</v>
      </c>
      <c r="AW127" s="42">
        <f t="shared" ref="AW127:AW132" si="17">SUM(E127-(AX127*100))</f>
        <v>100</v>
      </c>
      <c r="AX127" s="42">
        <f t="shared" ref="AX127:AX132" si="18">SUM(AY127:BE127)</f>
        <v>2</v>
      </c>
      <c r="AY127" s="42">
        <f t="shared" ref="AY127:AY132" si="19">SUM(G127:I127)</f>
        <v>2</v>
      </c>
      <c r="AZ127" s="42">
        <f t="shared" ref="AZ127:AZ132" si="20">SUM(0-COUNTA(J127:L127))</f>
        <v>0</v>
      </c>
      <c r="BA127" s="42">
        <f>COUNTA(#REF!)</f>
        <v>1</v>
      </c>
      <c r="BB127" s="42">
        <f t="shared" ref="BB127:BB132" si="21">COUNTA(Z127:AF127)</f>
        <v>0</v>
      </c>
      <c r="BC127" s="42"/>
      <c r="BD127" s="42">
        <v>-1</v>
      </c>
      <c r="BE127" s="42">
        <v>0</v>
      </c>
    </row>
    <row r="128" spans="1:62" hidden="1" x14ac:dyDescent="0.35">
      <c r="A128" s="199" t="s">
        <v>2639</v>
      </c>
      <c r="B128" s="199" t="s">
        <v>2056</v>
      </c>
      <c r="C128" s="200" t="s">
        <v>7</v>
      </c>
      <c r="D128" s="200" t="s">
        <v>8</v>
      </c>
      <c r="E128" s="200">
        <v>100</v>
      </c>
      <c r="F128" s="200" t="s">
        <v>9</v>
      </c>
      <c r="G128" s="85">
        <v>1</v>
      </c>
      <c r="H128" s="86"/>
      <c r="I128" s="87"/>
      <c r="J128" s="88"/>
      <c r="K128" s="89"/>
      <c r="L128" s="90"/>
      <c r="M128" s="165"/>
      <c r="N128" s="134"/>
      <c r="O128" s="45" t="s">
        <v>12</v>
      </c>
      <c r="P128" s="130"/>
      <c r="Q128" s="45"/>
      <c r="R128" s="136"/>
      <c r="S128" s="139"/>
      <c r="T128" s="136"/>
      <c r="U128" s="139"/>
      <c r="V128" s="45"/>
      <c r="W128" s="136"/>
      <c r="X128" s="134"/>
      <c r="Y128" s="166"/>
      <c r="Z128" s="126"/>
      <c r="AA128" s="130"/>
      <c r="AB128" s="126"/>
      <c r="AC128" s="130"/>
      <c r="AD128" s="126"/>
      <c r="AE128" s="130"/>
      <c r="AF128" s="126"/>
      <c r="AG128" s="43"/>
      <c r="AH128" s="44"/>
      <c r="AI128" s="45"/>
      <c r="AJ128" s="46"/>
      <c r="AK128" s="41"/>
      <c r="AL128" s="47">
        <v>2</v>
      </c>
      <c r="AM128" s="48"/>
      <c r="AN128" s="111"/>
      <c r="AO128" s="42"/>
      <c r="AP128" s="42"/>
      <c r="AQ128" s="115"/>
      <c r="AR128" s="75"/>
      <c r="AS128" s="40">
        <f t="shared" si="6"/>
        <v>2</v>
      </c>
      <c r="AT128" s="31" t="s">
        <v>751</v>
      </c>
      <c r="AW128" s="42">
        <f t="shared" si="17"/>
        <v>-100</v>
      </c>
      <c r="AX128" s="42">
        <f t="shared" si="18"/>
        <v>2</v>
      </c>
      <c r="AY128" s="42">
        <f t="shared" si="19"/>
        <v>1</v>
      </c>
      <c r="AZ128" s="42">
        <f t="shared" si="20"/>
        <v>0</v>
      </c>
      <c r="BA128" s="42">
        <f>COUNTA(#REF!)</f>
        <v>1</v>
      </c>
      <c r="BB128" s="42">
        <f t="shared" si="21"/>
        <v>0</v>
      </c>
      <c r="BC128" s="42"/>
      <c r="BD128" s="42"/>
      <c r="BE128" s="42">
        <v>0</v>
      </c>
    </row>
    <row r="129" spans="1:61" ht="26" hidden="1" x14ac:dyDescent="0.35">
      <c r="A129" s="199" t="s">
        <v>2639</v>
      </c>
      <c r="B129" s="199" t="s">
        <v>2056</v>
      </c>
      <c r="C129" s="200" t="s">
        <v>592</v>
      </c>
      <c r="D129" s="200" t="s">
        <v>8</v>
      </c>
      <c r="E129" s="200">
        <v>300</v>
      </c>
      <c r="F129" s="200" t="s">
        <v>1887</v>
      </c>
      <c r="G129" s="85">
        <v>2</v>
      </c>
      <c r="H129" s="86"/>
      <c r="I129" s="87"/>
      <c r="J129" s="88"/>
      <c r="K129" s="89"/>
      <c r="L129" s="90"/>
      <c r="M129" s="165"/>
      <c r="N129" s="134"/>
      <c r="O129" s="45" t="s">
        <v>12</v>
      </c>
      <c r="P129" s="130"/>
      <c r="Q129" s="45"/>
      <c r="R129" s="136"/>
      <c r="S129" s="139"/>
      <c r="T129" s="136"/>
      <c r="U129" s="139"/>
      <c r="V129" s="45"/>
      <c r="W129" s="136"/>
      <c r="X129" s="134"/>
      <c r="Y129" s="166"/>
      <c r="Z129" s="126"/>
      <c r="AA129" s="130"/>
      <c r="AB129" s="126"/>
      <c r="AC129" s="130"/>
      <c r="AD129" s="126"/>
      <c r="AE129" s="130"/>
      <c r="AF129" s="126"/>
      <c r="AG129" s="43"/>
      <c r="AH129" s="44"/>
      <c r="AI129" s="45"/>
      <c r="AJ129" s="46"/>
      <c r="AK129" s="41"/>
      <c r="AL129" s="47">
        <v>1</v>
      </c>
      <c r="AM129" s="48"/>
      <c r="AN129" s="111"/>
      <c r="AO129" s="42"/>
      <c r="AP129" s="42"/>
      <c r="AQ129" s="115"/>
      <c r="AR129" s="75"/>
      <c r="AS129" s="40">
        <f t="shared" si="6"/>
        <v>1</v>
      </c>
      <c r="AT129" s="31" t="s">
        <v>1754</v>
      </c>
      <c r="AW129" s="42">
        <f t="shared" si="17"/>
        <v>-100</v>
      </c>
      <c r="AX129" s="42">
        <f t="shared" si="18"/>
        <v>4</v>
      </c>
      <c r="AY129" s="42">
        <f t="shared" si="19"/>
        <v>2</v>
      </c>
      <c r="AZ129" s="42">
        <f t="shared" si="20"/>
        <v>0</v>
      </c>
      <c r="BA129" s="42">
        <f>COUNTA(#REF!)</f>
        <v>1</v>
      </c>
      <c r="BB129" s="42">
        <f t="shared" si="21"/>
        <v>0</v>
      </c>
      <c r="BC129" s="42">
        <v>1</v>
      </c>
      <c r="BD129" s="42">
        <v>-1</v>
      </c>
      <c r="BE129" s="42">
        <v>1</v>
      </c>
    </row>
    <row r="130" spans="1:61" ht="26" hidden="1" x14ac:dyDescent="0.35">
      <c r="A130" s="199" t="s">
        <v>2639</v>
      </c>
      <c r="B130" s="199" t="s">
        <v>2056</v>
      </c>
      <c r="C130" s="200" t="s">
        <v>808</v>
      </c>
      <c r="D130" s="200" t="s">
        <v>8</v>
      </c>
      <c r="E130" s="200">
        <v>300</v>
      </c>
      <c r="F130" s="200" t="s">
        <v>1842</v>
      </c>
      <c r="G130" s="85"/>
      <c r="H130" s="86">
        <v>1</v>
      </c>
      <c r="I130" s="87">
        <v>2</v>
      </c>
      <c r="J130" s="88" t="s">
        <v>12</v>
      </c>
      <c r="K130" s="89"/>
      <c r="L130" s="90"/>
      <c r="M130" s="165" t="s">
        <v>12</v>
      </c>
      <c r="N130" s="134"/>
      <c r="O130" s="45"/>
      <c r="P130" s="130"/>
      <c r="Q130" s="45"/>
      <c r="R130" s="136"/>
      <c r="S130" s="139"/>
      <c r="T130" s="136"/>
      <c r="U130" s="139"/>
      <c r="V130" s="45"/>
      <c r="W130" s="136"/>
      <c r="X130" s="134"/>
      <c r="Y130" s="166"/>
      <c r="Z130" s="126"/>
      <c r="AA130" s="130" t="s">
        <v>12</v>
      </c>
      <c r="AB130" s="126"/>
      <c r="AC130" s="130"/>
      <c r="AD130" s="126"/>
      <c r="AE130" s="130"/>
      <c r="AF130" s="126"/>
      <c r="AG130" s="43"/>
      <c r="AH130" s="44"/>
      <c r="AI130" s="45"/>
      <c r="AJ130" s="46"/>
      <c r="AK130" s="41"/>
      <c r="AL130" s="47">
        <v>1</v>
      </c>
      <c r="AM130" s="48"/>
      <c r="AN130" s="111"/>
      <c r="AO130" s="42"/>
      <c r="AP130" s="42"/>
      <c r="AQ130" s="115"/>
      <c r="AR130" s="75"/>
      <c r="AS130" s="40">
        <f t="shared" ref="AS130:AS193" si="22">SUM(AG130:AR130)</f>
        <v>1</v>
      </c>
      <c r="AT130" s="31" t="s">
        <v>1761</v>
      </c>
      <c r="AW130" s="42">
        <f t="shared" si="17"/>
        <v>-100</v>
      </c>
      <c r="AX130" s="42">
        <f t="shared" si="18"/>
        <v>4</v>
      </c>
      <c r="AY130" s="42">
        <f t="shared" si="19"/>
        <v>3</v>
      </c>
      <c r="AZ130" s="42">
        <f t="shared" si="20"/>
        <v>-1</v>
      </c>
      <c r="BA130" s="42">
        <f>COUNTA(#REF!)</f>
        <v>1</v>
      </c>
      <c r="BB130" s="42">
        <f t="shared" si="21"/>
        <v>1</v>
      </c>
      <c r="BC130" s="42"/>
      <c r="BD130" s="42">
        <v>-1</v>
      </c>
      <c r="BE130" s="42">
        <v>1</v>
      </c>
    </row>
    <row r="131" spans="1:61" ht="26" hidden="1" x14ac:dyDescent="0.35">
      <c r="A131" s="199" t="s">
        <v>2639</v>
      </c>
      <c r="B131" s="199" t="s">
        <v>2056</v>
      </c>
      <c r="C131" s="200" t="s">
        <v>805</v>
      </c>
      <c r="D131" s="200" t="s">
        <v>8</v>
      </c>
      <c r="E131" s="200">
        <v>200</v>
      </c>
      <c r="F131" s="200" t="s">
        <v>1843</v>
      </c>
      <c r="G131" s="85">
        <v>1</v>
      </c>
      <c r="H131" s="86"/>
      <c r="I131" s="87">
        <v>1</v>
      </c>
      <c r="J131" s="88"/>
      <c r="K131" s="89"/>
      <c r="L131" s="90" t="s">
        <v>12</v>
      </c>
      <c r="M131" s="165"/>
      <c r="N131" s="134"/>
      <c r="O131" s="45"/>
      <c r="P131" s="130" t="s">
        <v>12</v>
      </c>
      <c r="Q131" s="45"/>
      <c r="R131" s="136"/>
      <c r="S131" s="139"/>
      <c r="T131" s="136"/>
      <c r="U131" s="139"/>
      <c r="V131" s="45"/>
      <c r="W131" s="136"/>
      <c r="X131" s="134"/>
      <c r="Y131" s="166"/>
      <c r="Z131" s="126"/>
      <c r="AA131" s="130"/>
      <c r="AB131" s="126"/>
      <c r="AC131" s="130"/>
      <c r="AD131" s="126"/>
      <c r="AE131" s="130"/>
      <c r="AF131" s="126"/>
      <c r="AG131" s="43"/>
      <c r="AH131" s="44"/>
      <c r="AI131" s="45"/>
      <c r="AJ131" s="46"/>
      <c r="AK131" s="41"/>
      <c r="AL131" s="47">
        <v>1</v>
      </c>
      <c r="AM131" s="48"/>
      <c r="AN131" s="111"/>
      <c r="AO131" s="42"/>
      <c r="AP131" s="42"/>
      <c r="AQ131" s="115"/>
      <c r="AR131" s="75"/>
      <c r="AS131" s="40">
        <f t="shared" si="22"/>
        <v>1</v>
      </c>
      <c r="AT131" s="31" t="s">
        <v>1746</v>
      </c>
      <c r="AW131" s="42">
        <f t="shared" si="17"/>
        <v>0</v>
      </c>
      <c r="AX131" s="42">
        <f t="shared" si="18"/>
        <v>2</v>
      </c>
      <c r="AY131" s="42">
        <f t="shared" si="19"/>
        <v>2</v>
      </c>
      <c r="AZ131" s="42">
        <f t="shared" si="20"/>
        <v>-1</v>
      </c>
      <c r="BA131" s="42">
        <f>COUNTA(#REF!)</f>
        <v>1</v>
      </c>
      <c r="BB131" s="42">
        <f t="shared" si="21"/>
        <v>0</v>
      </c>
      <c r="BC131" s="42"/>
      <c r="BD131" s="42"/>
      <c r="BE131" s="42">
        <v>0</v>
      </c>
    </row>
    <row r="132" spans="1:61" ht="39" hidden="1" x14ac:dyDescent="0.35">
      <c r="A132" s="199" t="s">
        <v>2639</v>
      </c>
      <c r="B132" s="199" t="s">
        <v>2056</v>
      </c>
      <c r="C132" s="200" t="s">
        <v>806</v>
      </c>
      <c r="D132" s="200" t="s">
        <v>8</v>
      </c>
      <c r="E132" s="200">
        <v>200</v>
      </c>
      <c r="F132" s="200" t="s">
        <v>807</v>
      </c>
      <c r="G132" s="85"/>
      <c r="H132" s="86"/>
      <c r="I132" s="87">
        <v>1</v>
      </c>
      <c r="J132" s="88"/>
      <c r="K132" s="89"/>
      <c r="L132" s="90"/>
      <c r="M132" s="165"/>
      <c r="N132" s="134"/>
      <c r="O132" s="45"/>
      <c r="P132" s="130" t="s">
        <v>12</v>
      </c>
      <c r="Q132" s="45"/>
      <c r="R132" s="136"/>
      <c r="S132" s="139"/>
      <c r="T132" s="136"/>
      <c r="U132" s="139"/>
      <c r="V132" s="45"/>
      <c r="W132" s="136"/>
      <c r="X132" s="134"/>
      <c r="Y132" s="166"/>
      <c r="Z132" s="126"/>
      <c r="AA132" s="130"/>
      <c r="AB132" s="126"/>
      <c r="AC132" s="130"/>
      <c r="AD132" s="126"/>
      <c r="AE132" s="130"/>
      <c r="AF132" s="126"/>
      <c r="AG132" s="43"/>
      <c r="AH132" s="44"/>
      <c r="AI132" s="45"/>
      <c r="AJ132" s="46"/>
      <c r="AK132" s="41"/>
      <c r="AL132" s="47">
        <v>1</v>
      </c>
      <c r="AM132" s="48"/>
      <c r="AN132" s="111"/>
      <c r="AO132" s="42"/>
      <c r="AP132" s="42"/>
      <c r="AQ132" s="115"/>
      <c r="AR132" s="75"/>
      <c r="AS132" s="40">
        <f t="shared" si="22"/>
        <v>1</v>
      </c>
      <c r="AT132" s="31" t="s">
        <v>1756</v>
      </c>
      <c r="AW132" s="42">
        <f t="shared" si="17"/>
        <v>0</v>
      </c>
      <c r="AX132" s="42">
        <f t="shared" si="18"/>
        <v>2</v>
      </c>
      <c r="AY132" s="42">
        <f t="shared" si="19"/>
        <v>1</v>
      </c>
      <c r="AZ132" s="42">
        <f t="shared" si="20"/>
        <v>0</v>
      </c>
      <c r="BA132" s="42">
        <f>COUNTA(#REF!)</f>
        <v>1</v>
      </c>
      <c r="BB132" s="42">
        <f t="shared" si="21"/>
        <v>0</v>
      </c>
      <c r="BC132" s="42"/>
      <c r="BD132" s="42"/>
      <c r="BE132" s="42">
        <v>0</v>
      </c>
    </row>
    <row r="133" spans="1:61" ht="39" hidden="1" x14ac:dyDescent="0.35">
      <c r="A133" s="199" t="s">
        <v>2639</v>
      </c>
      <c r="B133" s="199" t="s">
        <v>2056</v>
      </c>
      <c r="C133" s="200" t="s">
        <v>829</v>
      </c>
      <c r="D133" s="200" t="s">
        <v>736</v>
      </c>
      <c r="E133" s="200">
        <v>1600</v>
      </c>
      <c r="F133" s="200" t="s">
        <v>830</v>
      </c>
      <c r="G133" s="85"/>
      <c r="H133" s="86"/>
      <c r="I133" s="87"/>
      <c r="J133" s="88"/>
      <c r="K133" s="89"/>
      <c r="L133" s="90"/>
      <c r="M133" s="165"/>
      <c r="N133" s="134"/>
      <c r="O133" s="45"/>
      <c r="P133" s="130"/>
      <c r="Q133" s="45"/>
      <c r="R133" s="136"/>
      <c r="S133" s="139"/>
      <c r="T133" s="136"/>
      <c r="U133" s="139"/>
      <c r="V133" s="45"/>
      <c r="W133" s="136"/>
      <c r="X133" s="134"/>
      <c r="Y133" s="166"/>
      <c r="Z133" s="126"/>
      <c r="AA133" s="130"/>
      <c r="AB133" s="126"/>
      <c r="AC133" s="130"/>
      <c r="AD133" s="126"/>
      <c r="AE133" s="130"/>
      <c r="AF133" s="126"/>
      <c r="AG133" s="43"/>
      <c r="AH133" s="44"/>
      <c r="AI133" s="45"/>
      <c r="AJ133" s="46"/>
      <c r="AK133" s="41"/>
      <c r="AL133" s="47">
        <v>1</v>
      </c>
      <c r="AM133" s="48"/>
      <c r="AN133" s="111"/>
      <c r="AO133" s="42"/>
      <c r="AP133" s="42"/>
      <c r="AQ133" s="115"/>
      <c r="AR133" s="75"/>
      <c r="AS133" s="40">
        <f t="shared" si="22"/>
        <v>1</v>
      </c>
      <c r="AW133" s="42"/>
      <c r="AX133" s="42"/>
      <c r="AY133" s="42"/>
      <c r="AZ133" s="42"/>
      <c r="BA133" s="42"/>
      <c r="BB133" s="42"/>
      <c r="BC133" s="42"/>
      <c r="BD133" s="42"/>
      <c r="BE133" s="42"/>
      <c r="BH133" s="31" t="s">
        <v>2247</v>
      </c>
      <c r="BI133" s="31" t="s">
        <v>2248</v>
      </c>
    </row>
    <row r="134" spans="1:61" ht="26" hidden="1" x14ac:dyDescent="0.35">
      <c r="A134" s="199" t="s">
        <v>2639</v>
      </c>
      <c r="B134" s="199" t="s">
        <v>2056</v>
      </c>
      <c r="C134" s="200" t="s">
        <v>802</v>
      </c>
      <c r="D134" s="200" t="s">
        <v>131</v>
      </c>
      <c r="E134" s="200">
        <v>100</v>
      </c>
      <c r="F134" s="200" t="s">
        <v>1840</v>
      </c>
      <c r="G134" s="85"/>
      <c r="H134" s="86"/>
      <c r="I134" s="87"/>
      <c r="J134" s="88"/>
      <c r="K134" s="89"/>
      <c r="L134" s="90"/>
      <c r="M134" s="165"/>
      <c r="N134" s="134"/>
      <c r="O134" s="45"/>
      <c r="P134" s="130"/>
      <c r="Q134" s="45"/>
      <c r="R134" s="136"/>
      <c r="S134" s="139"/>
      <c r="T134" s="136"/>
      <c r="U134" s="139"/>
      <c r="V134" s="45"/>
      <c r="W134" s="136"/>
      <c r="X134" s="134"/>
      <c r="Y134" s="166"/>
      <c r="Z134" s="126"/>
      <c r="AA134" s="130"/>
      <c r="AB134" s="126"/>
      <c r="AC134" s="130"/>
      <c r="AD134" s="126"/>
      <c r="AE134" s="130"/>
      <c r="AF134" s="126"/>
      <c r="AG134" s="43"/>
      <c r="AH134" s="44"/>
      <c r="AI134" s="45"/>
      <c r="AJ134" s="46"/>
      <c r="AK134" s="41"/>
      <c r="AL134" s="47">
        <v>2</v>
      </c>
      <c r="AM134" s="48"/>
      <c r="AN134" s="111"/>
      <c r="AO134" s="42"/>
      <c r="AP134" s="42"/>
      <c r="AQ134" s="115"/>
      <c r="AR134" s="75"/>
      <c r="AS134" s="40">
        <f t="shared" si="22"/>
        <v>2</v>
      </c>
      <c r="AW134" s="42"/>
      <c r="AX134" s="42"/>
      <c r="AY134" s="42"/>
      <c r="AZ134" s="42"/>
      <c r="BA134" s="42"/>
      <c r="BB134" s="42"/>
      <c r="BC134" s="42"/>
      <c r="BD134" s="42"/>
      <c r="BE134" s="42"/>
      <c r="BH134" s="31" t="s">
        <v>2251</v>
      </c>
      <c r="BI134" s="31" t="s">
        <v>2249</v>
      </c>
    </row>
    <row r="135" spans="1:61" ht="26" hidden="1" x14ac:dyDescent="0.35">
      <c r="A135" s="199" t="s">
        <v>2639</v>
      </c>
      <c r="B135" s="199" t="s">
        <v>2056</v>
      </c>
      <c r="C135" s="200" t="s">
        <v>803</v>
      </c>
      <c r="D135" s="200" t="s">
        <v>131</v>
      </c>
      <c r="E135" s="200">
        <v>500</v>
      </c>
      <c r="F135" s="200" t="s">
        <v>804</v>
      </c>
      <c r="G135" s="85"/>
      <c r="H135" s="86"/>
      <c r="I135" s="87"/>
      <c r="J135" s="88"/>
      <c r="K135" s="89"/>
      <c r="L135" s="90"/>
      <c r="M135" s="165"/>
      <c r="N135" s="134"/>
      <c r="O135" s="45"/>
      <c r="P135" s="130"/>
      <c r="Q135" s="45"/>
      <c r="R135" s="136"/>
      <c r="S135" s="139"/>
      <c r="T135" s="136"/>
      <c r="U135" s="139"/>
      <c r="V135" s="45"/>
      <c r="W135" s="136"/>
      <c r="X135" s="134"/>
      <c r="Y135" s="166"/>
      <c r="Z135" s="126"/>
      <c r="AA135" s="130"/>
      <c r="AB135" s="126"/>
      <c r="AC135" s="130"/>
      <c r="AD135" s="126"/>
      <c r="AE135" s="130"/>
      <c r="AF135" s="126"/>
      <c r="AG135" s="43"/>
      <c r="AH135" s="44"/>
      <c r="AI135" s="45"/>
      <c r="AJ135" s="46"/>
      <c r="AK135" s="41"/>
      <c r="AL135" s="47">
        <v>1</v>
      </c>
      <c r="AM135" s="48"/>
      <c r="AN135" s="111"/>
      <c r="AO135" s="42"/>
      <c r="AP135" s="42"/>
      <c r="AQ135" s="115"/>
      <c r="AR135" s="75"/>
      <c r="AS135" s="40">
        <f t="shared" si="22"/>
        <v>1</v>
      </c>
      <c r="AW135" s="42"/>
      <c r="AX135" s="42"/>
      <c r="AY135" s="42"/>
      <c r="AZ135" s="42"/>
      <c r="BA135" s="42"/>
      <c r="BB135" s="42"/>
      <c r="BC135" s="42"/>
      <c r="BD135" s="42"/>
      <c r="BE135" s="42"/>
      <c r="BH135" s="31" t="s">
        <v>2251</v>
      </c>
      <c r="BI135" s="31" t="s">
        <v>2249</v>
      </c>
    </row>
    <row r="136" spans="1:61" hidden="1" x14ac:dyDescent="0.35">
      <c r="A136" s="199" t="s">
        <v>2639</v>
      </c>
      <c r="B136" s="199" t="s">
        <v>2056</v>
      </c>
      <c r="C136" s="200" t="s">
        <v>820</v>
      </c>
      <c r="D136" s="200" t="s">
        <v>131</v>
      </c>
      <c r="E136" s="200">
        <v>0</v>
      </c>
      <c r="F136" s="200" t="s">
        <v>1844</v>
      </c>
      <c r="G136" s="85"/>
      <c r="H136" s="86"/>
      <c r="I136" s="87">
        <v>1</v>
      </c>
      <c r="J136" s="88"/>
      <c r="K136" s="89"/>
      <c r="L136" s="90"/>
      <c r="M136" s="165"/>
      <c r="N136" s="134"/>
      <c r="O136" s="45"/>
      <c r="P136" s="130"/>
      <c r="Q136" s="45"/>
      <c r="R136" s="136"/>
      <c r="S136" s="139"/>
      <c r="T136" s="136"/>
      <c r="U136" s="139"/>
      <c r="V136" s="45"/>
      <c r="W136" s="136"/>
      <c r="X136" s="134"/>
      <c r="Y136" s="166"/>
      <c r="Z136" s="126"/>
      <c r="AA136" s="130"/>
      <c r="AB136" s="126"/>
      <c r="AC136" s="130"/>
      <c r="AD136" s="126"/>
      <c r="AE136" s="130"/>
      <c r="AF136" s="126"/>
      <c r="AG136" s="43"/>
      <c r="AH136" s="44"/>
      <c r="AI136" s="45"/>
      <c r="AJ136" s="46"/>
      <c r="AK136" s="41"/>
      <c r="AL136" s="47">
        <v>1</v>
      </c>
      <c r="AM136" s="48"/>
      <c r="AN136" s="111"/>
      <c r="AO136" s="42"/>
      <c r="AP136" s="42"/>
      <c r="AQ136" s="115"/>
      <c r="AR136" s="75"/>
      <c r="AS136" s="40">
        <f t="shared" si="22"/>
        <v>1</v>
      </c>
      <c r="AW136" s="42"/>
      <c r="AX136" s="42"/>
      <c r="AY136" s="42"/>
      <c r="AZ136" s="42"/>
      <c r="BA136" s="42"/>
      <c r="BB136" s="42"/>
      <c r="BC136" s="42"/>
      <c r="BD136" s="42"/>
      <c r="BE136" s="42"/>
      <c r="BH136" s="31" t="s">
        <v>2251</v>
      </c>
      <c r="BI136" s="31" t="s">
        <v>2249</v>
      </c>
    </row>
    <row r="137" spans="1:61" ht="26" hidden="1" x14ac:dyDescent="0.35">
      <c r="A137" s="199" t="s">
        <v>2639</v>
      </c>
      <c r="B137" s="199" t="s">
        <v>2056</v>
      </c>
      <c r="C137" s="200" t="s">
        <v>818</v>
      </c>
      <c r="D137" s="200" t="s">
        <v>131</v>
      </c>
      <c r="E137" s="200">
        <v>1200</v>
      </c>
      <c r="F137" s="200" t="s">
        <v>819</v>
      </c>
      <c r="G137" s="85"/>
      <c r="H137" s="86"/>
      <c r="I137" s="87">
        <v>1</v>
      </c>
      <c r="J137" s="88"/>
      <c r="K137" s="89"/>
      <c r="L137" s="90"/>
      <c r="M137" s="165" t="s">
        <v>12</v>
      </c>
      <c r="N137" s="134"/>
      <c r="O137" s="45"/>
      <c r="P137" s="130"/>
      <c r="Q137" s="45"/>
      <c r="R137" s="136"/>
      <c r="S137" s="139"/>
      <c r="T137" s="136"/>
      <c r="U137" s="139"/>
      <c r="V137" s="45"/>
      <c r="W137" s="136"/>
      <c r="X137" s="134"/>
      <c r="Y137" s="166"/>
      <c r="Z137" s="126"/>
      <c r="AA137" s="130"/>
      <c r="AB137" s="126"/>
      <c r="AC137" s="130"/>
      <c r="AD137" s="126"/>
      <c r="AE137" s="130"/>
      <c r="AF137" s="126"/>
      <c r="AG137" s="43"/>
      <c r="AH137" s="44"/>
      <c r="AI137" s="45"/>
      <c r="AJ137" s="46"/>
      <c r="AK137" s="41"/>
      <c r="AL137" s="47">
        <v>1</v>
      </c>
      <c r="AM137" s="48"/>
      <c r="AN137" s="111"/>
      <c r="AO137" s="42"/>
      <c r="AP137" s="42"/>
      <c r="AQ137" s="115"/>
      <c r="AR137" s="75"/>
      <c r="AS137" s="40">
        <f t="shared" si="22"/>
        <v>1</v>
      </c>
      <c r="AW137" s="42"/>
      <c r="AX137" s="42"/>
      <c r="AY137" s="42"/>
      <c r="AZ137" s="42"/>
      <c r="BA137" s="42"/>
      <c r="BB137" s="42"/>
      <c r="BC137" s="42"/>
      <c r="BD137" s="42"/>
      <c r="BE137" s="42"/>
      <c r="BH137" s="31" t="s">
        <v>2251</v>
      </c>
      <c r="BI137" s="31" t="s">
        <v>2249</v>
      </c>
    </row>
    <row r="138" spans="1:61" ht="26" hidden="1" x14ac:dyDescent="0.35">
      <c r="A138" s="199" t="s">
        <v>2639</v>
      </c>
      <c r="B138" s="199" t="s">
        <v>2056</v>
      </c>
      <c r="C138" s="200" t="s">
        <v>817</v>
      </c>
      <c r="D138" s="200" t="s">
        <v>131</v>
      </c>
      <c r="E138" s="200">
        <v>800</v>
      </c>
      <c r="F138" s="200" t="s">
        <v>1839</v>
      </c>
      <c r="G138" s="85"/>
      <c r="H138" s="86"/>
      <c r="I138" s="87"/>
      <c r="J138" s="88"/>
      <c r="K138" s="89"/>
      <c r="L138" s="90"/>
      <c r="M138" s="165"/>
      <c r="N138" s="134"/>
      <c r="O138" s="45"/>
      <c r="P138" s="130"/>
      <c r="Q138" s="45"/>
      <c r="R138" s="136"/>
      <c r="S138" s="139"/>
      <c r="T138" s="136"/>
      <c r="U138" s="139"/>
      <c r="V138" s="45"/>
      <c r="W138" s="136"/>
      <c r="X138" s="134"/>
      <c r="Y138" s="166"/>
      <c r="Z138" s="126"/>
      <c r="AA138" s="130"/>
      <c r="AB138" s="126"/>
      <c r="AC138" s="130"/>
      <c r="AD138" s="126"/>
      <c r="AE138" s="130"/>
      <c r="AF138" s="126"/>
      <c r="AG138" s="43"/>
      <c r="AH138" s="44"/>
      <c r="AI138" s="45"/>
      <c r="AJ138" s="46"/>
      <c r="AK138" s="41"/>
      <c r="AL138" s="47">
        <v>1</v>
      </c>
      <c r="AM138" s="48"/>
      <c r="AN138" s="111"/>
      <c r="AO138" s="42"/>
      <c r="AP138" s="42"/>
      <c r="AQ138" s="115"/>
      <c r="AR138" s="75"/>
      <c r="AS138" s="40">
        <f t="shared" si="22"/>
        <v>1</v>
      </c>
      <c r="AW138" s="42"/>
      <c r="AX138" s="42"/>
      <c r="AY138" s="42"/>
      <c r="AZ138" s="42"/>
      <c r="BA138" s="42"/>
      <c r="BB138" s="42"/>
      <c r="BC138" s="42"/>
      <c r="BD138" s="42"/>
      <c r="BE138" s="42"/>
      <c r="BH138" s="31" t="s">
        <v>2251</v>
      </c>
      <c r="BI138" s="31" t="s">
        <v>2249</v>
      </c>
    </row>
    <row r="139" spans="1:61" hidden="1" x14ac:dyDescent="0.35">
      <c r="A139" s="199" t="s">
        <v>2639</v>
      </c>
      <c r="B139" s="199" t="s">
        <v>2056</v>
      </c>
      <c r="C139" s="200" t="s">
        <v>816</v>
      </c>
      <c r="D139" s="200" t="s">
        <v>131</v>
      </c>
      <c r="E139" s="200">
        <v>800</v>
      </c>
      <c r="F139" s="200" t="s">
        <v>1484</v>
      </c>
      <c r="G139" s="85">
        <v>2</v>
      </c>
      <c r="H139" s="86"/>
      <c r="I139" s="87"/>
      <c r="J139" s="88"/>
      <c r="K139" s="89"/>
      <c r="L139" s="90"/>
      <c r="M139" s="165"/>
      <c r="N139" s="134"/>
      <c r="O139" s="45"/>
      <c r="P139" s="130"/>
      <c r="Q139" s="45"/>
      <c r="R139" s="136"/>
      <c r="S139" s="139"/>
      <c r="T139" s="136"/>
      <c r="U139" s="139"/>
      <c r="V139" s="45"/>
      <c r="W139" s="136"/>
      <c r="X139" s="134"/>
      <c r="Y139" s="166"/>
      <c r="Z139" s="126"/>
      <c r="AA139" s="130"/>
      <c r="AB139" s="126"/>
      <c r="AC139" s="130"/>
      <c r="AD139" s="126" t="s">
        <v>12</v>
      </c>
      <c r="AE139" s="130"/>
      <c r="AF139" s="126"/>
      <c r="AG139" s="43"/>
      <c r="AH139" s="44"/>
      <c r="AI139" s="45"/>
      <c r="AJ139" s="46"/>
      <c r="AK139" s="41"/>
      <c r="AL139" s="47">
        <v>1</v>
      </c>
      <c r="AM139" s="48"/>
      <c r="AN139" s="111"/>
      <c r="AO139" s="42"/>
      <c r="AP139" s="42"/>
      <c r="AQ139" s="115"/>
      <c r="AR139" s="75"/>
      <c r="AS139" s="40">
        <f t="shared" si="22"/>
        <v>1</v>
      </c>
      <c r="AW139" s="42"/>
      <c r="AX139" s="42"/>
      <c r="AY139" s="42"/>
      <c r="AZ139" s="42"/>
      <c r="BA139" s="42"/>
      <c r="BB139" s="42"/>
      <c r="BC139" s="42"/>
      <c r="BD139" s="42"/>
      <c r="BE139" s="42"/>
      <c r="BH139" s="31" t="s">
        <v>2251</v>
      </c>
      <c r="BI139" s="31" t="s">
        <v>2249</v>
      </c>
    </row>
    <row r="140" spans="1:61" ht="26" hidden="1" x14ac:dyDescent="0.35">
      <c r="A140" s="199" t="s">
        <v>2639</v>
      </c>
      <c r="B140" s="199" t="s">
        <v>2056</v>
      </c>
      <c r="C140" s="200" t="s">
        <v>814</v>
      </c>
      <c r="D140" s="200" t="s">
        <v>131</v>
      </c>
      <c r="E140" s="200">
        <v>200</v>
      </c>
      <c r="F140" s="200" t="s">
        <v>815</v>
      </c>
      <c r="G140" s="85"/>
      <c r="H140" s="86"/>
      <c r="I140" s="87"/>
      <c r="J140" s="88"/>
      <c r="K140" s="89"/>
      <c r="L140" s="90"/>
      <c r="M140" s="165"/>
      <c r="N140" s="134"/>
      <c r="O140" s="45"/>
      <c r="P140" s="130"/>
      <c r="Q140" s="45"/>
      <c r="R140" s="136"/>
      <c r="S140" s="139"/>
      <c r="T140" s="136"/>
      <c r="U140" s="139"/>
      <c r="V140" s="45"/>
      <c r="W140" s="136"/>
      <c r="X140" s="134"/>
      <c r="Y140" s="166"/>
      <c r="Z140" s="126"/>
      <c r="AA140" s="130"/>
      <c r="AB140" s="126"/>
      <c r="AC140" s="130"/>
      <c r="AD140" s="126"/>
      <c r="AE140" s="130"/>
      <c r="AF140" s="126"/>
      <c r="AG140" s="43"/>
      <c r="AH140" s="44"/>
      <c r="AI140" s="45"/>
      <c r="AJ140" s="46"/>
      <c r="AK140" s="41"/>
      <c r="AL140" s="47">
        <v>1</v>
      </c>
      <c r="AM140" s="48"/>
      <c r="AN140" s="111"/>
      <c r="AO140" s="42"/>
      <c r="AP140" s="42"/>
      <c r="AQ140" s="115"/>
      <c r="AR140" s="75"/>
      <c r="AS140" s="40">
        <f t="shared" si="22"/>
        <v>1</v>
      </c>
      <c r="AW140" s="42"/>
      <c r="AX140" s="42"/>
      <c r="AY140" s="42"/>
      <c r="AZ140" s="42"/>
      <c r="BA140" s="42"/>
      <c r="BB140" s="42"/>
      <c r="BC140" s="42"/>
      <c r="BD140" s="42"/>
      <c r="BE140" s="42"/>
      <c r="BH140" s="31" t="s">
        <v>2251</v>
      </c>
      <c r="BI140" s="31" t="s">
        <v>2249</v>
      </c>
    </row>
    <row r="141" spans="1:61" ht="26" hidden="1" x14ac:dyDescent="0.35">
      <c r="A141" s="199" t="s">
        <v>2639</v>
      </c>
      <c r="B141" s="199" t="s">
        <v>2056</v>
      </c>
      <c r="C141" s="200" t="s">
        <v>812</v>
      </c>
      <c r="D141" s="200" t="s">
        <v>131</v>
      </c>
      <c r="E141" s="200">
        <v>1400</v>
      </c>
      <c r="F141" s="200" t="s">
        <v>813</v>
      </c>
      <c r="G141" s="85"/>
      <c r="H141" s="86"/>
      <c r="I141" s="87"/>
      <c r="J141" s="88"/>
      <c r="K141" s="89"/>
      <c r="L141" s="90"/>
      <c r="M141" s="165"/>
      <c r="N141" s="134"/>
      <c r="O141" s="45"/>
      <c r="P141" s="130"/>
      <c r="Q141" s="45"/>
      <c r="R141" s="136"/>
      <c r="S141" s="139"/>
      <c r="T141" s="136"/>
      <c r="U141" s="139"/>
      <c r="V141" s="45"/>
      <c r="W141" s="136"/>
      <c r="X141" s="134"/>
      <c r="Y141" s="166"/>
      <c r="Z141" s="126"/>
      <c r="AA141" s="130"/>
      <c r="AB141" s="126"/>
      <c r="AC141" s="130" t="s">
        <v>12</v>
      </c>
      <c r="AD141" s="126"/>
      <c r="AE141" s="130"/>
      <c r="AF141" s="126"/>
      <c r="AG141" s="43"/>
      <c r="AH141" s="44"/>
      <c r="AI141" s="45"/>
      <c r="AJ141" s="46"/>
      <c r="AK141" s="41"/>
      <c r="AL141" s="47">
        <v>1</v>
      </c>
      <c r="AM141" s="48"/>
      <c r="AN141" s="111"/>
      <c r="AO141" s="42"/>
      <c r="AP141" s="42"/>
      <c r="AQ141" s="115"/>
      <c r="AR141" s="75"/>
      <c r="AS141" s="40">
        <f t="shared" si="22"/>
        <v>1</v>
      </c>
      <c r="AW141" s="42"/>
      <c r="AX141" s="42"/>
      <c r="AY141" s="42"/>
      <c r="AZ141" s="42"/>
      <c r="BA141" s="42"/>
      <c r="BB141" s="42"/>
      <c r="BC141" s="42"/>
      <c r="BD141" s="42"/>
      <c r="BE141" s="42"/>
      <c r="BH141" s="31" t="s">
        <v>2251</v>
      </c>
      <c r="BI141" s="31" t="s">
        <v>2249</v>
      </c>
    </row>
    <row r="142" spans="1:61" ht="26" hidden="1" x14ac:dyDescent="0.35">
      <c r="A142" s="199" t="s">
        <v>2639</v>
      </c>
      <c r="B142" s="199" t="s">
        <v>2056</v>
      </c>
      <c r="C142" s="200" t="s">
        <v>1828</v>
      </c>
      <c r="D142" s="200" t="s">
        <v>131</v>
      </c>
      <c r="E142" s="200">
        <v>1000</v>
      </c>
      <c r="F142" s="200" t="s">
        <v>1836</v>
      </c>
      <c r="G142" s="85"/>
      <c r="H142" s="86"/>
      <c r="I142" s="87"/>
      <c r="J142" s="88"/>
      <c r="K142" s="89"/>
      <c r="L142" s="90"/>
      <c r="M142" s="165"/>
      <c r="N142" s="134"/>
      <c r="O142" s="45"/>
      <c r="P142" s="130"/>
      <c r="Q142" s="45"/>
      <c r="R142" s="136"/>
      <c r="S142" s="139"/>
      <c r="T142" s="136"/>
      <c r="U142" s="139"/>
      <c r="V142" s="45"/>
      <c r="W142" s="136"/>
      <c r="X142" s="134"/>
      <c r="Y142" s="166"/>
      <c r="Z142" s="126" t="s">
        <v>12</v>
      </c>
      <c r="AA142" s="130"/>
      <c r="AB142" s="126"/>
      <c r="AC142" s="130"/>
      <c r="AD142" s="126"/>
      <c r="AE142" s="130"/>
      <c r="AF142" s="126"/>
      <c r="AG142" s="43"/>
      <c r="AH142" s="44"/>
      <c r="AI142" s="45"/>
      <c r="AJ142" s="46"/>
      <c r="AK142" s="41"/>
      <c r="AL142" s="47">
        <v>1</v>
      </c>
      <c r="AM142" s="48"/>
      <c r="AN142" s="111"/>
      <c r="AO142" s="42"/>
      <c r="AP142" s="42"/>
      <c r="AQ142" s="115"/>
      <c r="AR142" s="75"/>
      <c r="AS142" s="40">
        <f t="shared" si="22"/>
        <v>1</v>
      </c>
      <c r="AW142" s="42"/>
      <c r="AX142" s="42"/>
      <c r="AY142" s="42"/>
      <c r="AZ142" s="42"/>
      <c r="BA142" s="42"/>
      <c r="BB142" s="42"/>
      <c r="BC142" s="42"/>
      <c r="BD142" s="42"/>
      <c r="BE142" s="42"/>
      <c r="BH142" s="31" t="s">
        <v>2251</v>
      </c>
      <c r="BI142" s="31" t="s">
        <v>2249</v>
      </c>
    </row>
    <row r="143" spans="1:61" ht="26" hidden="1" x14ac:dyDescent="0.35">
      <c r="A143" s="199" t="s">
        <v>2639</v>
      </c>
      <c r="B143" s="199" t="s">
        <v>2056</v>
      </c>
      <c r="C143" s="200" t="s">
        <v>810</v>
      </c>
      <c r="D143" s="200" t="s">
        <v>131</v>
      </c>
      <c r="E143" s="200">
        <v>1000</v>
      </c>
      <c r="F143" s="200" t="s">
        <v>811</v>
      </c>
      <c r="G143" s="85">
        <v>2</v>
      </c>
      <c r="H143" s="86"/>
      <c r="I143" s="87"/>
      <c r="J143" s="88"/>
      <c r="K143" s="89"/>
      <c r="L143" s="90"/>
      <c r="M143" s="165"/>
      <c r="N143" s="134"/>
      <c r="O143" s="45"/>
      <c r="P143" s="130"/>
      <c r="Q143" s="45"/>
      <c r="R143" s="136"/>
      <c r="S143" s="139"/>
      <c r="T143" s="136"/>
      <c r="U143" s="139"/>
      <c r="V143" s="45"/>
      <c r="W143" s="136"/>
      <c r="X143" s="134"/>
      <c r="Y143" s="166"/>
      <c r="Z143" s="126"/>
      <c r="AA143" s="130"/>
      <c r="AB143" s="126"/>
      <c r="AC143" s="130"/>
      <c r="AD143" s="126"/>
      <c r="AE143" s="130"/>
      <c r="AF143" s="126"/>
      <c r="AG143" s="43"/>
      <c r="AH143" s="44"/>
      <c r="AI143" s="45"/>
      <c r="AJ143" s="46"/>
      <c r="AK143" s="41"/>
      <c r="AL143" s="47">
        <v>1</v>
      </c>
      <c r="AM143" s="48"/>
      <c r="AN143" s="111"/>
      <c r="AO143" s="42"/>
      <c r="AP143" s="42"/>
      <c r="AQ143" s="115"/>
      <c r="AR143" s="75"/>
      <c r="AS143" s="40">
        <f t="shared" si="22"/>
        <v>1</v>
      </c>
      <c r="AW143" s="42"/>
      <c r="AX143" s="42"/>
      <c r="AY143" s="42"/>
      <c r="AZ143" s="42"/>
      <c r="BA143" s="42"/>
      <c r="BB143" s="42"/>
      <c r="BC143" s="42"/>
      <c r="BD143" s="42"/>
      <c r="BE143" s="42"/>
      <c r="BH143" s="31" t="s">
        <v>2251</v>
      </c>
      <c r="BI143" s="31" t="s">
        <v>2249</v>
      </c>
    </row>
    <row r="144" spans="1:61" hidden="1" x14ac:dyDescent="0.35">
      <c r="A144" s="199" t="s">
        <v>2639</v>
      </c>
      <c r="B144" s="199" t="s">
        <v>2056</v>
      </c>
      <c r="C144" s="200" t="s">
        <v>800</v>
      </c>
      <c r="D144" s="200" t="s">
        <v>136</v>
      </c>
      <c r="E144" s="200"/>
      <c r="F144" s="200" t="s">
        <v>801</v>
      </c>
      <c r="G144" s="85">
        <v>1</v>
      </c>
      <c r="H144" s="86"/>
      <c r="I144" s="87">
        <v>2</v>
      </c>
      <c r="J144" s="88"/>
      <c r="K144" s="89"/>
      <c r="L144" s="90"/>
      <c r="M144" s="165"/>
      <c r="N144" s="134"/>
      <c r="O144" s="45"/>
      <c r="P144" s="130"/>
      <c r="Q144" s="45"/>
      <c r="R144" s="136"/>
      <c r="S144" s="139"/>
      <c r="T144" s="136"/>
      <c r="U144" s="139"/>
      <c r="V144" s="45"/>
      <c r="W144" s="136"/>
      <c r="X144" s="134"/>
      <c r="Y144" s="166"/>
      <c r="Z144" s="126" t="s">
        <v>12</v>
      </c>
      <c r="AA144" s="130" t="s">
        <v>12</v>
      </c>
      <c r="AB144" s="126"/>
      <c r="AC144" s="130"/>
      <c r="AD144" s="126"/>
      <c r="AE144" s="130"/>
      <c r="AF144" s="126"/>
      <c r="AG144" s="43"/>
      <c r="AH144" s="44"/>
      <c r="AI144" s="45"/>
      <c r="AJ144" s="46"/>
      <c r="AK144" s="41"/>
      <c r="AL144" s="47"/>
      <c r="AM144" s="48"/>
      <c r="AN144" s="111"/>
      <c r="AO144" s="42"/>
      <c r="AP144" s="42"/>
      <c r="AQ144" s="115"/>
      <c r="AR144" s="75">
        <v>1</v>
      </c>
      <c r="AS144" s="40">
        <f t="shared" si="22"/>
        <v>1</v>
      </c>
      <c r="AW144" s="42"/>
      <c r="AX144" s="42"/>
      <c r="AY144" s="42"/>
      <c r="AZ144" s="42"/>
      <c r="BA144" s="42"/>
      <c r="BB144" s="42"/>
      <c r="BC144" s="42"/>
      <c r="BD144" s="42"/>
      <c r="BE144" s="42"/>
    </row>
    <row r="145" spans="1:61" ht="26" hidden="1" x14ac:dyDescent="0.35">
      <c r="A145" s="199" t="s">
        <v>2639</v>
      </c>
      <c r="B145" s="199" t="s">
        <v>2056</v>
      </c>
      <c r="C145" s="200" t="s">
        <v>798</v>
      </c>
      <c r="D145" s="200" t="s">
        <v>136</v>
      </c>
      <c r="E145" s="200"/>
      <c r="F145" s="200" t="s">
        <v>799</v>
      </c>
      <c r="G145" s="85">
        <v>1</v>
      </c>
      <c r="H145" s="86">
        <v>2</v>
      </c>
      <c r="I145" s="87"/>
      <c r="J145" s="88" t="s">
        <v>12</v>
      </c>
      <c r="K145" s="89"/>
      <c r="L145" s="90"/>
      <c r="M145" s="165"/>
      <c r="N145" s="134"/>
      <c r="O145" s="45"/>
      <c r="P145" s="130"/>
      <c r="Q145" s="45"/>
      <c r="R145" s="136" t="s">
        <v>12</v>
      </c>
      <c r="S145" s="139" t="s">
        <v>12</v>
      </c>
      <c r="T145" s="136"/>
      <c r="U145" s="139"/>
      <c r="V145" s="45"/>
      <c r="W145" s="136"/>
      <c r="X145" s="134"/>
      <c r="Y145" s="166"/>
      <c r="Z145" s="126"/>
      <c r="AA145" s="130"/>
      <c r="AB145" s="126"/>
      <c r="AC145" s="130"/>
      <c r="AD145" s="126"/>
      <c r="AE145" s="130"/>
      <c r="AF145" s="126"/>
      <c r="AG145" s="43"/>
      <c r="AH145" s="44"/>
      <c r="AI145" s="45"/>
      <c r="AJ145" s="46"/>
      <c r="AK145" s="41"/>
      <c r="AL145" s="47"/>
      <c r="AM145" s="48"/>
      <c r="AN145" s="111"/>
      <c r="AO145" s="42"/>
      <c r="AP145" s="42"/>
      <c r="AQ145" s="115"/>
      <c r="AR145" s="75">
        <v>1</v>
      </c>
      <c r="AS145" s="40">
        <f t="shared" si="22"/>
        <v>1</v>
      </c>
      <c r="AW145" s="42"/>
      <c r="AX145" s="42"/>
      <c r="AY145" s="42"/>
      <c r="AZ145" s="42"/>
      <c r="BA145" s="42"/>
      <c r="BB145" s="42"/>
      <c r="BC145" s="42"/>
      <c r="BD145" s="42"/>
      <c r="BE145" s="42"/>
    </row>
    <row r="146" spans="1:61" ht="39" hidden="1" x14ac:dyDescent="0.35">
      <c r="A146" s="199" t="s">
        <v>2639</v>
      </c>
      <c r="B146" s="199" t="s">
        <v>2056</v>
      </c>
      <c r="C146" s="200" t="s">
        <v>821</v>
      </c>
      <c r="D146" s="200" t="s">
        <v>5</v>
      </c>
      <c r="E146" s="200">
        <v>400</v>
      </c>
      <c r="F146" s="200" t="s">
        <v>822</v>
      </c>
      <c r="G146" s="85"/>
      <c r="H146" s="86"/>
      <c r="I146" s="87"/>
      <c r="J146" s="88"/>
      <c r="K146" s="89"/>
      <c r="L146" s="90"/>
      <c r="M146" s="165"/>
      <c r="N146" s="134"/>
      <c r="O146" s="45"/>
      <c r="P146" s="130"/>
      <c r="Q146" s="45"/>
      <c r="R146" s="136"/>
      <c r="S146" s="139"/>
      <c r="T146" s="136"/>
      <c r="U146" s="139"/>
      <c r="V146" s="45"/>
      <c r="W146" s="136"/>
      <c r="X146" s="134"/>
      <c r="Y146" s="166"/>
      <c r="Z146" s="126"/>
      <c r="AA146" s="130"/>
      <c r="AB146" s="126"/>
      <c r="AC146" s="130"/>
      <c r="AD146" s="126"/>
      <c r="AE146" s="130"/>
      <c r="AF146" s="126"/>
      <c r="AG146" s="43"/>
      <c r="AH146" s="44"/>
      <c r="AI146" s="45"/>
      <c r="AJ146" s="46"/>
      <c r="AK146" s="41"/>
      <c r="AL146" s="47">
        <v>2</v>
      </c>
      <c r="AM146" s="48"/>
      <c r="AN146" s="111"/>
      <c r="AO146" s="42"/>
      <c r="AP146" s="42"/>
      <c r="AQ146" s="115"/>
      <c r="AR146" s="75"/>
      <c r="AS146" s="40">
        <f t="shared" si="22"/>
        <v>2</v>
      </c>
      <c r="AW146" s="42"/>
      <c r="AX146" s="42"/>
      <c r="AY146" s="42"/>
      <c r="AZ146" s="42"/>
      <c r="BA146" s="42"/>
      <c r="BB146" s="42"/>
      <c r="BC146" s="42"/>
      <c r="BD146" s="42"/>
      <c r="BE146" s="42"/>
      <c r="BH146" s="31" t="s">
        <v>2251</v>
      </c>
      <c r="BI146" s="31" t="s">
        <v>2248</v>
      </c>
    </row>
    <row r="147" spans="1:61" ht="26" hidden="1" x14ac:dyDescent="0.35">
      <c r="A147" s="199" t="s">
        <v>2639</v>
      </c>
      <c r="B147" s="199" t="s">
        <v>2056</v>
      </c>
      <c r="C147" s="200" t="s">
        <v>825</v>
      </c>
      <c r="D147" s="200" t="s">
        <v>5</v>
      </c>
      <c r="E147" s="200">
        <v>800</v>
      </c>
      <c r="F147" s="200" t="s">
        <v>826</v>
      </c>
      <c r="G147" s="85"/>
      <c r="H147" s="86"/>
      <c r="I147" s="87"/>
      <c r="J147" s="88"/>
      <c r="K147" s="89"/>
      <c r="L147" s="90"/>
      <c r="M147" s="165"/>
      <c r="N147" s="134"/>
      <c r="O147" s="45"/>
      <c r="P147" s="130"/>
      <c r="Q147" s="45"/>
      <c r="R147" s="136"/>
      <c r="S147" s="139"/>
      <c r="T147" s="136"/>
      <c r="U147" s="139"/>
      <c r="V147" s="45"/>
      <c r="W147" s="136"/>
      <c r="X147" s="134"/>
      <c r="Y147" s="166"/>
      <c r="Z147" s="126"/>
      <c r="AA147" s="130"/>
      <c r="AB147" s="126"/>
      <c r="AC147" s="130"/>
      <c r="AD147" s="126"/>
      <c r="AE147" s="130"/>
      <c r="AF147" s="126"/>
      <c r="AG147" s="43"/>
      <c r="AH147" s="44"/>
      <c r="AI147" s="45"/>
      <c r="AJ147" s="46"/>
      <c r="AK147" s="41"/>
      <c r="AL147" s="47">
        <v>1</v>
      </c>
      <c r="AM147" s="48"/>
      <c r="AN147" s="111"/>
      <c r="AO147" s="42"/>
      <c r="AP147" s="42"/>
      <c r="AQ147" s="115"/>
      <c r="AR147" s="75"/>
      <c r="AS147" s="40">
        <f t="shared" si="22"/>
        <v>1</v>
      </c>
      <c r="AW147" s="42"/>
      <c r="AX147" s="42"/>
      <c r="AY147" s="42"/>
      <c r="AZ147" s="42"/>
      <c r="BA147" s="42"/>
      <c r="BB147" s="42"/>
      <c r="BC147" s="42"/>
      <c r="BD147" s="42"/>
      <c r="BE147" s="42"/>
      <c r="BH147" s="31" t="s">
        <v>2251</v>
      </c>
      <c r="BI147" s="31" t="s">
        <v>2248</v>
      </c>
    </row>
    <row r="148" spans="1:61" ht="26" hidden="1" x14ac:dyDescent="0.35">
      <c r="A148" s="199" t="s">
        <v>2639</v>
      </c>
      <c r="B148" s="199" t="s">
        <v>2056</v>
      </c>
      <c r="C148" s="200" t="s">
        <v>827</v>
      </c>
      <c r="D148" s="200" t="s">
        <v>5</v>
      </c>
      <c r="E148" s="200">
        <v>600</v>
      </c>
      <c r="F148" s="200" t="s">
        <v>828</v>
      </c>
      <c r="G148" s="189"/>
      <c r="H148" s="190"/>
      <c r="I148" s="191"/>
      <c r="J148" s="192"/>
      <c r="K148" s="193"/>
      <c r="L148" s="41"/>
      <c r="M148" s="165"/>
      <c r="N148" s="134"/>
      <c r="O148" s="45"/>
      <c r="P148" s="130"/>
      <c r="Q148" s="45"/>
      <c r="R148" s="136"/>
      <c r="S148" s="139"/>
      <c r="T148" s="136"/>
      <c r="U148" s="139"/>
      <c r="V148" s="45"/>
      <c r="W148" s="136"/>
      <c r="X148" s="134"/>
      <c r="Y148" s="166"/>
      <c r="Z148" s="126"/>
      <c r="AA148" s="130"/>
      <c r="AB148" s="126"/>
      <c r="AC148" s="130"/>
      <c r="AD148" s="126"/>
      <c r="AE148" s="130"/>
      <c r="AF148" s="126"/>
      <c r="AG148" s="43"/>
      <c r="AH148" s="44"/>
      <c r="AI148" s="45"/>
      <c r="AJ148" s="46"/>
      <c r="AK148" s="41"/>
      <c r="AL148" s="47">
        <v>1</v>
      </c>
      <c r="AM148" s="48"/>
      <c r="AN148" s="111"/>
      <c r="AO148" s="42"/>
      <c r="AP148" s="42"/>
      <c r="AQ148" s="115"/>
      <c r="AR148" s="75"/>
      <c r="AS148" s="40">
        <f t="shared" si="22"/>
        <v>1</v>
      </c>
      <c r="AW148" s="42"/>
      <c r="AX148" s="42"/>
      <c r="AY148" s="42"/>
      <c r="AZ148" s="42"/>
      <c r="BA148" s="42"/>
      <c r="BB148" s="42"/>
      <c r="BC148" s="42"/>
      <c r="BD148" s="42"/>
      <c r="BE148" s="42"/>
      <c r="BH148" s="31" t="s">
        <v>2251</v>
      </c>
      <c r="BI148" s="31" t="s">
        <v>2248</v>
      </c>
    </row>
    <row r="149" spans="1:61" ht="26" hidden="1" x14ac:dyDescent="0.35">
      <c r="A149" s="199" t="s">
        <v>2639</v>
      </c>
      <c r="B149" s="199" t="s">
        <v>2056</v>
      </c>
      <c r="C149" s="200" t="s">
        <v>823</v>
      </c>
      <c r="D149" s="200" t="s">
        <v>5</v>
      </c>
      <c r="E149" s="200">
        <v>600</v>
      </c>
      <c r="F149" s="200" t="s">
        <v>824</v>
      </c>
      <c r="G149" s="189"/>
      <c r="H149" s="190"/>
      <c r="I149" s="191"/>
      <c r="J149" s="192"/>
      <c r="K149" s="193"/>
      <c r="L149" s="41"/>
      <c r="M149" s="165"/>
      <c r="N149" s="134"/>
      <c r="O149" s="45"/>
      <c r="P149" s="130"/>
      <c r="Q149" s="45"/>
      <c r="R149" s="136"/>
      <c r="S149" s="139"/>
      <c r="T149" s="136"/>
      <c r="U149" s="139"/>
      <c r="V149" s="45"/>
      <c r="W149" s="136"/>
      <c r="X149" s="134"/>
      <c r="Y149" s="166"/>
      <c r="Z149" s="126"/>
      <c r="AA149" s="130"/>
      <c r="AB149" s="126"/>
      <c r="AC149" s="130"/>
      <c r="AD149" s="126"/>
      <c r="AE149" s="130"/>
      <c r="AF149" s="126"/>
      <c r="AG149" s="43"/>
      <c r="AH149" s="44"/>
      <c r="AI149" s="45"/>
      <c r="AJ149" s="46"/>
      <c r="AK149" s="41"/>
      <c r="AL149" s="47">
        <v>2</v>
      </c>
      <c r="AM149" s="48"/>
      <c r="AN149" s="111"/>
      <c r="AO149" s="42"/>
      <c r="AP149" s="42"/>
      <c r="AQ149" s="115"/>
      <c r="AR149" s="75"/>
      <c r="AS149" s="40">
        <f t="shared" si="22"/>
        <v>2</v>
      </c>
      <c r="AT149" s="40"/>
      <c r="AW149" s="42"/>
      <c r="AX149" s="42"/>
      <c r="AY149" s="42"/>
      <c r="AZ149" s="42"/>
      <c r="BA149" s="42"/>
      <c r="BB149" s="42"/>
      <c r="BC149" s="42"/>
      <c r="BD149" s="42"/>
      <c r="BE149" s="42"/>
      <c r="BH149" s="31" t="s">
        <v>2251</v>
      </c>
      <c r="BI149" s="31" t="s">
        <v>2248</v>
      </c>
    </row>
    <row r="150" spans="1:61" hidden="1" x14ac:dyDescent="0.35">
      <c r="A150" s="199" t="s">
        <v>2639</v>
      </c>
      <c r="B150" s="199" t="s">
        <v>2055</v>
      </c>
      <c r="C150" s="200" t="s">
        <v>1463</v>
      </c>
      <c r="D150" s="200" t="s">
        <v>8</v>
      </c>
      <c r="E150" s="200">
        <v>200</v>
      </c>
      <c r="F150" s="200" t="s">
        <v>1474</v>
      </c>
      <c r="G150" s="85">
        <v>1</v>
      </c>
      <c r="H150" s="86"/>
      <c r="I150" s="87">
        <v>1</v>
      </c>
      <c r="J150" s="88"/>
      <c r="K150" s="89"/>
      <c r="L150" s="90" t="s">
        <v>12</v>
      </c>
      <c r="M150" s="165"/>
      <c r="N150" s="134"/>
      <c r="O150" s="45"/>
      <c r="P150" s="130"/>
      <c r="Q150" s="45"/>
      <c r="R150" s="136"/>
      <c r="S150" s="139"/>
      <c r="T150" s="136" t="s">
        <v>12</v>
      </c>
      <c r="U150" s="139"/>
      <c r="V150" s="45"/>
      <c r="W150" s="136"/>
      <c r="X150" s="134"/>
      <c r="Y150" s="166"/>
      <c r="Z150" s="126"/>
      <c r="AA150" s="130"/>
      <c r="AB150" s="126"/>
      <c r="AC150" s="130"/>
      <c r="AD150" s="126"/>
      <c r="AE150" s="130"/>
      <c r="AF150" s="126"/>
      <c r="AG150" s="43"/>
      <c r="AH150" s="44"/>
      <c r="AI150" s="45">
        <v>1</v>
      </c>
      <c r="AJ150" s="46"/>
      <c r="AK150" s="41"/>
      <c r="AL150" s="47"/>
      <c r="AM150" s="48"/>
      <c r="AN150" s="111"/>
      <c r="AO150" s="42"/>
      <c r="AP150" s="42"/>
      <c r="AQ150" s="115"/>
      <c r="AR150" s="75"/>
      <c r="AS150" s="40">
        <f t="shared" si="22"/>
        <v>1</v>
      </c>
      <c r="AT150" s="40" t="s">
        <v>1743</v>
      </c>
      <c r="AW150" s="42">
        <f t="shared" ref="AW150:AW159" si="23">SUM(E150-(AX150*100))</f>
        <v>0</v>
      </c>
      <c r="AX150" s="42">
        <f t="shared" ref="AX150:AX159" si="24">SUM(AY150:BE150)</f>
        <v>2</v>
      </c>
      <c r="AY150" s="42">
        <f t="shared" ref="AY150:AY159" si="25">SUM(G150:I150)</f>
        <v>2</v>
      </c>
      <c r="AZ150" s="42">
        <f t="shared" ref="AZ150:AZ159" si="26">SUM(0-COUNTA(J150:L150))</f>
        <v>-1</v>
      </c>
      <c r="BA150" s="42">
        <f>COUNTA(#REF!)</f>
        <v>1</v>
      </c>
      <c r="BB150" s="42">
        <f t="shared" ref="BB150:BB159" si="27">COUNTA(Z150:AF150)</f>
        <v>0</v>
      </c>
      <c r="BC150" s="42"/>
      <c r="BD150" s="42"/>
      <c r="BE150" s="42">
        <v>0</v>
      </c>
    </row>
    <row r="151" spans="1:61" hidden="1" x14ac:dyDescent="0.35">
      <c r="A151" s="199" t="s">
        <v>2639</v>
      </c>
      <c r="B151" s="199" t="s">
        <v>2055</v>
      </c>
      <c r="C151" s="200" t="s">
        <v>1463</v>
      </c>
      <c r="D151" s="200" t="s">
        <v>8</v>
      </c>
      <c r="E151" s="200">
        <v>200</v>
      </c>
      <c r="F151" s="200" t="s">
        <v>1474</v>
      </c>
      <c r="G151" s="85">
        <v>1</v>
      </c>
      <c r="H151" s="86"/>
      <c r="I151" s="87">
        <v>1</v>
      </c>
      <c r="J151" s="88"/>
      <c r="K151" s="89"/>
      <c r="L151" s="90" t="s">
        <v>12</v>
      </c>
      <c r="M151" s="165"/>
      <c r="N151" s="134"/>
      <c r="O151" s="45"/>
      <c r="P151" s="130" t="s">
        <v>12</v>
      </c>
      <c r="Q151" s="45"/>
      <c r="R151" s="136"/>
      <c r="S151" s="139"/>
      <c r="T151" s="136"/>
      <c r="U151" s="139"/>
      <c r="V151" s="45"/>
      <c r="W151" s="136"/>
      <c r="X151" s="134"/>
      <c r="Y151" s="166"/>
      <c r="Z151" s="126"/>
      <c r="AA151" s="130"/>
      <c r="AB151" s="126"/>
      <c r="AC151" s="130"/>
      <c r="AD151" s="126"/>
      <c r="AE151" s="130"/>
      <c r="AF151" s="126"/>
      <c r="AG151" s="43"/>
      <c r="AH151" s="44"/>
      <c r="AI151" s="45"/>
      <c r="AJ151" s="46"/>
      <c r="AK151" s="41"/>
      <c r="AL151" s="47"/>
      <c r="AM151" s="48">
        <v>1</v>
      </c>
      <c r="AN151" s="111"/>
      <c r="AO151" s="42"/>
      <c r="AP151" s="42"/>
      <c r="AQ151" s="115"/>
      <c r="AR151" s="75"/>
      <c r="AS151" s="40">
        <f t="shared" si="22"/>
        <v>1</v>
      </c>
      <c r="AT151" s="40" t="s">
        <v>1743</v>
      </c>
      <c r="AW151" s="42">
        <f t="shared" si="23"/>
        <v>0</v>
      </c>
      <c r="AX151" s="42">
        <f t="shared" si="24"/>
        <v>2</v>
      </c>
      <c r="AY151" s="42">
        <f t="shared" si="25"/>
        <v>2</v>
      </c>
      <c r="AZ151" s="42">
        <f t="shared" si="26"/>
        <v>-1</v>
      </c>
      <c r="BA151" s="42">
        <f>COUNTA(#REF!)</f>
        <v>1</v>
      </c>
      <c r="BB151" s="42">
        <f t="shared" si="27"/>
        <v>0</v>
      </c>
      <c r="BC151" s="42"/>
      <c r="BD151" s="42"/>
      <c r="BE151" s="42">
        <v>0</v>
      </c>
    </row>
    <row r="152" spans="1:61" hidden="1" x14ac:dyDescent="0.35">
      <c r="A152" s="199" t="s">
        <v>2639</v>
      </c>
      <c r="B152" s="199" t="s">
        <v>2055</v>
      </c>
      <c r="C152" s="200" t="s">
        <v>1469</v>
      </c>
      <c r="D152" s="200" t="s">
        <v>8</v>
      </c>
      <c r="E152" s="200">
        <v>200</v>
      </c>
      <c r="F152" s="200" t="s">
        <v>1478</v>
      </c>
      <c r="G152" s="85"/>
      <c r="H152" s="86"/>
      <c r="I152" s="87">
        <v>1</v>
      </c>
      <c r="J152" s="88"/>
      <c r="K152" s="89"/>
      <c r="L152" s="90" t="s">
        <v>12</v>
      </c>
      <c r="M152" s="165"/>
      <c r="N152" s="134"/>
      <c r="O152" s="45"/>
      <c r="P152" s="130" t="s">
        <v>12</v>
      </c>
      <c r="Q152" s="45"/>
      <c r="R152" s="136"/>
      <c r="S152" s="139"/>
      <c r="T152" s="136" t="s">
        <v>12</v>
      </c>
      <c r="U152" s="139"/>
      <c r="V152" s="45"/>
      <c r="W152" s="136"/>
      <c r="X152" s="134"/>
      <c r="Y152" s="166"/>
      <c r="Z152" s="126"/>
      <c r="AA152" s="130"/>
      <c r="AB152" s="126"/>
      <c r="AC152" s="130"/>
      <c r="AD152" s="126"/>
      <c r="AE152" s="130"/>
      <c r="AF152" s="126"/>
      <c r="AG152" s="43"/>
      <c r="AH152" s="44"/>
      <c r="AI152" s="45"/>
      <c r="AJ152" s="46"/>
      <c r="AK152" s="41"/>
      <c r="AL152" s="47"/>
      <c r="AM152" s="48">
        <v>1</v>
      </c>
      <c r="AN152" s="111"/>
      <c r="AO152" s="42"/>
      <c r="AP152" s="42"/>
      <c r="AQ152" s="115"/>
      <c r="AR152" s="75"/>
      <c r="AS152" s="40">
        <f t="shared" si="22"/>
        <v>1</v>
      </c>
      <c r="AT152" s="40" t="s">
        <v>1747</v>
      </c>
      <c r="AW152" s="42">
        <f t="shared" si="23"/>
        <v>100</v>
      </c>
      <c r="AX152" s="42">
        <f t="shared" si="24"/>
        <v>1</v>
      </c>
      <c r="AY152" s="42">
        <f t="shared" si="25"/>
        <v>1</v>
      </c>
      <c r="AZ152" s="42">
        <f t="shared" si="26"/>
        <v>-1</v>
      </c>
      <c r="BA152" s="42">
        <f>COUNTA(#REF!)</f>
        <v>1</v>
      </c>
      <c r="BB152" s="42">
        <f t="shared" si="27"/>
        <v>0</v>
      </c>
      <c r="BC152" s="42"/>
      <c r="BD152" s="42"/>
      <c r="BE152" s="42">
        <v>0</v>
      </c>
    </row>
    <row r="153" spans="1:61" hidden="1" x14ac:dyDescent="0.35">
      <c r="A153" s="199" t="s">
        <v>2639</v>
      </c>
      <c r="B153" s="199" t="s">
        <v>2055</v>
      </c>
      <c r="C153" s="200" t="s">
        <v>1468</v>
      </c>
      <c r="D153" s="200" t="s">
        <v>8</v>
      </c>
      <c r="E153" s="200">
        <v>300</v>
      </c>
      <c r="F153" s="200" t="s">
        <v>1846</v>
      </c>
      <c r="G153" s="85"/>
      <c r="H153" s="86"/>
      <c r="I153" s="87">
        <v>2</v>
      </c>
      <c r="J153" s="88"/>
      <c r="K153" s="89"/>
      <c r="L153" s="90"/>
      <c r="M153" s="165"/>
      <c r="N153" s="134"/>
      <c r="O153" s="45"/>
      <c r="P153" s="130" t="s">
        <v>12</v>
      </c>
      <c r="Q153" s="45"/>
      <c r="R153" s="136"/>
      <c r="S153" s="139"/>
      <c r="T153" s="136"/>
      <c r="U153" s="139"/>
      <c r="V153" s="45"/>
      <c r="W153" s="136"/>
      <c r="X153" s="134"/>
      <c r="Y153" s="166"/>
      <c r="Z153" s="126"/>
      <c r="AA153" s="130"/>
      <c r="AB153" s="126"/>
      <c r="AC153" s="130"/>
      <c r="AD153" s="126"/>
      <c r="AE153" s="130"/>
      <c r="AF153" s="126"/>
      <c r="AG153" s="43"/>
      <c r="AH153" s="44"/>
      <c r="AI153" s="45"/>
      <c r="AJ153" s="46"/>
      <c r="AK153" s="41"/>
      <c r="AL153" s="47"/>
      <c r="AM153" s="48">
        <v>1</v>
      </c>
      <c r="AN153" s="111"/>
      <c r="AO153" s="42"/>
      <c r="AP153" s="42"/>
      <c r="AQ153" s="115"/>
      <c r="AR153" s="75"/>
      <c r="AS153" s="40">
        <f t="shared" si="22"/>
        <v>1</v>
      </c>
      <c r="AT153" s="40" t="s">
        <v>1756</v>
      </c>
      <c r="AW153" s="42">
        <f t="shared" si="23"/>
        <v>0</v>
      </c>
      <c r="AX153" s="42">
        <f t="shared" si="24"/>
        <v>3</v>
      </c>
      <c r="AY153" s="42">
        <f t="shared" si="25"/>
        <v>2</v>
      </c>
      <c r="AZ153" s="42">
        <f t="shared" si="26"/>
        <v>0</v>
      </c>
      <c r="BA153" s="42">
        <f>COUNTA(#REF!)</f>
        <v>1</v>
      </c>
      <c r="BB153" s="42">
        <f t="shared" si="27"/>
        <v>0</v>
      </c>
      <c r="BC153" s="42"/>
      <c r="BD153" s="42"/>
      <c r="BE153" s="42">
        <v>0</v>
      </c>
    </row>
    <row r="154" spans="1:61" ht="26" hidden="1" x14ac:dyDescent="0.35">
      <c r="A154" s="199" t="s">
        <v>2639</v>
      </c>
      <c r="B154" s="199" t="s">
        <v>2055</v>
      </c>
      <c r="C154" s="200" t="s">
        <v>1476</v>
      </c>
      <c r="D154" s="200" t="s">
        <v>8</v>
      </c>
      <c r="E154" s="200">
        <v>300</v>
      </c>
      <c r="F154" s="200" t="s">
        <v>1845</v>
      </c>
      <c r="G154" s="85"/>
      <c r="H154" s="86">
        <v>2</v>
      </c>
      <c r="I154" s="87"/>
      <c r="J154" s="88"/>
      <c r="K154" s="89"/>
      <c r="L154" s="90"/>
      <c r="M154" s="165"/>
      <c r="N154" s="134"/>
      <c r="O154" s="45"/>
      <c r="P154" s="130"/>
      <c r="Q154" s="45"/>
      <c r="R154" s="136"/>
      <c r="S154" s="139"/>
      <c r="T154" s="136"/>
      <c r="U154" s="139"/>
      <c r="V154" s="45"/>
      <c r="W154" s="136"/>
      <c r="X154" s="134"/>
      <c r="Y154" s="166"/>
      <c r="Z154" s="126"/>
      <c r="AA154" s="130"/>
      <c r="AB154" s="126" t="s">
        <v>12</v>
      </c>
      <c r="AC154" s="130"/>
      <c r="AD154" s="126"/>
      <c r="AE154" s="130"/>
      <c r="AF154" s="126"/>
      <c r="AG154" s="43"/>
      <c r="AH154" s="44"/>
      <c r="AI154" s="45"/>
      <c r="AJ154" s="46"/>
      <c r="AK154" s="41"/>
      <c r="AL154" s="47"/>
      <c r="AM154" s="48">
        <v>1</v>
      </c>
      <c r="AN154" s="111"/>
      <c r="AO154" s="42"/>
      <c r="AP154" s="42"/>
      <c r="AQ154" s="115"/>
      <c r="AR154" s="75"/>
      <c r="AS154" s="40">
        <f t="shared" si="22"/>
        <v>1</v>
      </c>
      <c r="AT154" s="40" t="s">
        <v>1753</v>
      </c>
      <c r="AW154" s="42">
        <f t="shared" si="23"/>
        <v>-100</v>
      </c>
      <c r="AX154" s="42">
        <f t="shared" si="24"/>
        <v>4</v>
      </c>
      <c r="AY154" s="42">
        <f t="shared" si="25"/>
        <v>2</v>
      </c>
      <c r="AZ154" s="42">
        <f t="shared" si="26"/>
        <v>0</v>
      </c>
      <c r="BA154" s="42">
        <f>COUNTA(#REF!)</f>
        <v>1</v>
      </c>
      <c r="BB154" s="42">
        <f t="shared" si="27"/>
        <v>1</v>
      </c>
      <c r="BC154" s="42"/>
      <c r="BD154" s="42">
        <v>-1</v>
      </c>
      <c r="BE154" s="42">
        <v>1</v>
      </c>
    </row>
    <row r="155" spans="1:61" ht="26" hidden="1" x14ac:dyDescent="0.35">
      <c r="A155" s="199" t="s">
        <v>2639</v>
      </c>
      <c r="B155" s="199" t="s">
        <v>2055</v>
      </c>
      <c r="C155" s="200" t="s">
        <v>1471</v>
      </c>
      <c r="D155" s="200" t="s">
        <v>8</v>
      </c>
      <c r="E155" s="200">
        <v>200</v>
      </c>
      <c r="F155" s="201" t="s">
        <v>1888</v>
      </c>
      <c r="G155" s="85">
        <v>1</v>
      </c>
      <c r="H155" s="86">
        <v>1</v>
      </c>
      <c r="I155" s="87"/>
      <c r="J155" s="88"/>
      <c r="K155" s="89"/>
      <c r="L155" s="90"/>
      <c r="M155" s="165"/>
      <c r="N155" s="134"/>
      <c r="O155" s="45"/>
      <c r="P155" s="130"/>
      <c r="Q155" s="45"/>
      <c r="R155" s="136" t="s">
        <v>12</v>
      </c>
      <c r="S155" s="139"/>
      <c r="T155" s="136" t="s">
        <v>12</v>
      </c>
      <c r="U155" s="139"/>
      <c r="V155" s="45"/>
      <c r="W155" s="136"/>
      <c r="X155" s="134"/>
      <c r="Y155" s="166"/>
      <c r="Z155" s="126"/>
      <c r="AA155" s="130"/>
      <c r="AB155" s="126"/>
      <c r="AC155" s="130"/>
      <c r="AD155" s="126"/>
      <c r="AE155" s="130"/>
      <c r="AF155" s="126"/>
      <c r="AG155" s="43"/>
      <c r="AH155" s="44"/>
      <c r="AI155" s="45"/>
      <c r="AJ155" s="46"/>
      <c r="AK155" s="41"/>
      <c r="AL155" s="47"/>
      <c r="AM155" s="48">
        <v>1</v>
      </c>
      <c r="AN155" s="111"/>
      <c r="AO155" s="42"/>
      <c r="AP155" s="42"/>
      <c r="AQ155" s="115"/>
      <c r="AR155" s="75"/>
      <c r="AS155" s="40">
        <f t="shared" si="22"/>
        <v>1</v>
      </c>
      <c r="AT155" s="40" t="s">
        <v>1754</v>
      </c>
      <c r="AW155" s="42">
        <f t="shared" si="23"/>
        <v>-100</v>
      </c>
      <c r="AX155" s="42">
        <f t="shared" si="24"/>
        <v>3</v>
      </c>
      <c r="AY155" s="42">
        <f t="shared" si="25"/>
        <v>2</v>
      </c>
      <c r="AZ155" s="42">
        <f t="shared" si="26"/>
        <v>0</v>
      </c>
      <c r="BA155" s="42">
        <f>COUNTA(#REF!)</f>
        <v>1</v>
      </c>
      <c r="BB155" s="42">
        <f t="shared" si="27"/>
        <v>0</v>
      </c>
      <c r="BC155" s="42"/>
      <c r="BD155" s="42">
        <v>-1</v>
      </c>
      <c r="BE155" s="42">
        <v>1</v>
      </c>
    </row>
    <row r="156" spans="1:61" ht="26" hidden="1" x14ac:dyDescent="0.35">
      <c r="A156" s="199" t="s">
        <v>2639</v>
      </c>
      <c r="B156" s="199" t="s">
        <v>2055</v>
      </c>
      <c r="C156" s="200" t="s">
        <v>1472</v>
      </c>
      <c r="D156" s="200" t="s">
        <v>8</v>
      </c>
      <c r="E156" s="200">
        <v>0</v>
      </c>
      <c r="F156" s="200" t="s">
        <v>1848</v>
      </c>
      <c r="G156" s="85"/>
      <c r="H156" s="86"/>
      <c r="I156" s="87">
        <v>1</v>
      </c>
      <c r="J156" s="88"/>
      <c r="K156" s="89"/>
      <c r="L156" s="90"/>
      <c r="M156" s="165"/>
      <c r="N156" s="134"/>
      <c r="O156" s="45"/>
      <c r="P156" s="130"/>
      <c r="Q156" s="45"/>
      <c r="R156" s="136"/>
      <c r="S156" s="139"/>
      <c r="T156" s="136" t="s">
        <v>12</v>
      </c>
      <c r="U156" s="139"/>
      <c r="V156" s="45"/>
      <c r="W156" s="136"/>
      <c r="X156" s="134"/>
      <c r="Y156" s="166"/>
      <c r="Z156" s="126"/>
      <c r="AA156" s="130"/>
      <c r="AB156" s="126"/>
      <c r="AC156" s="130"/>
      <c r="AD156" s="126"/>
      <c r="AE156" s="130"/>
      <c r="AF156" s="126"/>
      <c r="AG156" s="43"/>
      <c r="AH156" s="44"/>
      <c r="AI156" s="45"/>
      <c r="AJ156" s="46"/>
      <c r="AK156" s="41"/>
      <c r="AL156" s="47"/>
      <c r="AM156" s="48">
        <v>1</v>
      </c>
      <c r="AN156" s="111"/>
      <c r="AO156" s="42"/>
      <c r="AP156" s="42"/>
      <c r="AQ156" s="115"/>
      <c r="AR156" s="75"/>
      <c r="AS156" s="40">
        <f t="shared" si="22"/>
        <v>1</v>
      </c>
      <c r="AT156" s="40" t="s">
        <v>1741</v>
      </c>
      <c r="AW156" s="42">
        <f t="shared" si="23"/>
        <v>-100</v>
      </c>
      <c r="AX156" s="42">
        <f t="shared" si="24"/>
        <v>1</v>
      </c>
      <c r="AY156" s="42">
        <f t="shared" si="25"/>
        <v>1</v>
      </c>
      <c r="AZ156" s="42">
        <f t="shared" si="26"/>
        <v>0</v>
      </c>
      <c r="BA156" s="42">
        <f>COUNTA(#REF!)</f>
        <v>1</v>
      </c>
      <c r="BB156" s="42">
        <f t="shared" si="27"/>
        <v>0</v>
      </c>
      <c r="BC156" s="42"/>
      <c r="BD156" s="42">
        <v>-1</v>
      </c>
      <c r="BE156" s="42">
        <v>0</v>
      </c>
    </row>
    <row r="157" spans="1:61" ht="26" hidden="1" x14ac:dyDescent="0.35">
      <c r="A157" s="199" t="s">
        <v>2639</v>
      </c>
      <c r="B157" s="199" t="s">
        <v>2055</v>
      </c>
      <c r="C157" s="200" t="s">
        <v>1467</v>
      </c>
      <c r="D157" s="200" t="s">
        <v>8</v>
      </c>
      <c r="E157" s="200">
        <v>200</v>
      </c>
      <c r="F157" s="200" t="s">
        <v>1477</v>
      </c>
      <c r="G157" s="85">
        <v>1</v>
      </c>
      <c r="H157" s="86">
        <v>1</v>
      </c>
      <c r="I157" s="87"/>
      <c r="J157" s="88"/>
      <c r="K157" s="89"/>
      <c r="L157" s="90" t="s">
        <v>12</v>
      </c>
      <c r="M157" s="165"/>
      <c r="N157" s="134"/>
      <c r="O157" s="45"/>
      <c r="P157" s="130"/>
      <c r="Q157" s="45"/>
      <c r="R157" s="136"/>
      <c r="S157" s="139"/>
      <c r="T157" s="136"/>
      <c r="U157" s="139" t="s">
        <v>12</v>
      </c>
      <c r="V157" s="45"/>
      <c r="W157" s="136"/>
      <c r="X157" s="134"/>
      <c r="Y157" s="166"/>
      <c r="Z157" s="126"/>
      <c r="AA157" s="130"/>
      <c r="AB157" s="126"/>
      <c r="AC157" s="130"/>
      <c r="AD157" s="126"/>
      <c r="AE157" s="130"/>
      <c r="AF157" s="126"/>
      <c r="AG157" s="43"/>
      <c r="AH157" s="44"/>
      <c r="AI157" s="45"/>
      <c r="AJ157" s="46"/>
      <c r="AK157" s="41"/>
      <c r="AL157" s="47"/>
      <c r="AM157" s="48">
        <v>1</v>
      </c>
      <c r="AN157" s="111"/>
      <c r="AO157" s="42"/>
      <c r="AP157" s="42"/>
      <c r="AQ157" s="115"/>
      <c r="AR157" s="75"/>
      <c r="AS157" s="40">
        <f t="shared" si="22"/>
        <v>1</v>
      </c>
      <c r="AT157" s="40" t="s">
        <v>1747</v>
      </c>
      <c r="AW157" s="42">
        <f t="shared" si="23"/>
        <v>0</v>
      </c>
      <c r="AX157" s="42">
        <f t="shared" si="24"/>
        <v>2</v>
      </c>
      <c r="AY157" s="42">
        <f t="shared" si="25"/>
        <v>2</v>
      </c>
      <c r="AZ157" s="42">
        <f t="shared" si="26"/>
        <v>-1</v>
      </c>
      <c r="BA157" s="42">
        <f>COUNTA(#REF!)</f>
        <v>1</v>
      </c>
      <c r="BB157" s="42">
        <f t="shared" si="27"/>
        <v>0</v>
      </c>
      <c r="BC157" s="42"/>
      <c r="BD157" s="42"/>
      <c r="BE157" s="42">
        <v>0</v>
      </c>
    </row>
    <row r="158" spans="1:61" ht="26" hidden="1" x14ac:dyDescent="0.35">
      <c r="A158" s="199" t="s">
        <v>2639</v>
      </c>
      <c r="B158" s="199" t="s">
        <v>2055</v>
      </c>
      <c r="C158" s="200" t="s">
        <v>1436</v>
      </c>
      <c r="D158" s="200" t="s">
        <v>8</v>
      </c>
      <c r="E158" s="200">
        <v>100</v>
      </c>
      <c r="F158" s="200" t="s">
        <v>1437</v>
      </c>
      <c r="G158" s="85"/>
      <c r="H158" s="86">
        <v>1</v>
      </c>
      <c r="I158" s="87"/>
      <c r="J158" s="88"/>
      <c r="K158" s="89"/>
      <c r="L158" s="90" t="s">
        <v>12</v>
      </c>
      <c r="M158" s="165"/>
      <c r="N158" s="134"/>
      <c r="O158" s="45"/>
      <c r="P158" s="130"/>
      <c r="Q158" s="45"/>
      <c r="R158" s="136"/>
      <c r="S158" s="139"/>
      <c r="T158" s="136" t="s">
        <v>12</v>
      </c>
      <c r="U158" s="139"/>
      <c r="V158" s="45"/>
      <c r="W158" s="136"/>
      <c r="X158" s="134"/>
      <c r="Y158" s="166"/>
      <c r="Z158" s="126"/>
      <c r="AA158" s="130"/>
      <c r="AB158" s="126"/>
      <c r="AC158" s="130"/>
      <c r="AD158" s="126"/>
      <c r="AE158" s="130"/>
      <c r="AF158" s="126"/>
      <c r="AG158" s="43"/>
      <c r="AH158" s="44">
        <v>2</v>
      </c>
      <c r="AI158" s="45">
        <v>2</v>
      </c>
      <c r="AJ158" s="46">
        <v>2</v>
      </c>
      <c r="AK158" s="41"/>
      <c r="AL158" s="47"/>
      <c r="AM158" s="48"/>
      <c r="AN158" s="111"/>
      <c r="AO158" s="42"/>
      <c r="AP158" s="42"/>
      <c r="AQ158" s="115"/>
      <c r="AR158" s="75"/>
      <c r="AS158" s="40">
        <f t="shared" si="22"/>
        <v>6</v>
      </c>
      <c r="AT158" s="40" t="s">
        <v>1756</v>
      </c>
      <c r="AW158" s="42">
        <f t="shared" si="23"/>
        <v>0</v>
      </c>
      <c r="AX158" s="42">
        <f t="shared" si="24"/>
        <v>1</v>
      </c>
      <c r="AY158" s="42">
        <f t="shared" si="25"/>
        <v>1</v>
      </c>
      <c r="AZ158" s="42">
        <f t="shared" si="26"/>
        <v>-1</v>
      </c>
      <c r="BA158" s="42">
        <f>COUNTA(#REF!)</f>
        <v>1</v>
      </c>
      <c r="BB158" s="42">
        <f t="shared" si="27"/>
        <v>0</v>
      </c>
      <c r="BC158" s="42"/>
      <c r="BD158" s="42"/>
      <c r="BE158" s="42">
        <v>0</v>
      </c>
    </row>
    <row r="159" spans="1:61" ht="26" hidden="1" x14ac:dyDescent="0.35">
      <c r="A159" s="199" t="s">
        <v>2639</v>
      </c>
      <c r="B159" s="199" t="s">
        <v>2055</v>
      </c>
      <c r="C159" s="200" t="s">
        <v>1470</v>
      </c>
      <c r="D159" s="200" t="s">
        <v>8</v>
      </c>
      <c r="E159" s="200">
        <v>300</v>
      </c>
      <c r="F159" s="200" t="s">
        <v>1486</v>
      </c>
      <c r="G159" s="85">
        <v>1</v>
      </c>
      <c r="H159" s="86"/>
      <c r="I159" s="87">
        <v>2</v>
      </c>
      <c r="J159" s="88"/>
      <c r="K159" s="89"/>
      <c r="L159" s="90"/>
      <c r="M159" s="165" t="s">
        <v>12</v>
      </c>
      <c r="N159" s="134"/>
      <c r="O159" s="45"/>
      <c r="P159" s="130"/>
      <c r="Q159" s="45"/>
      <c r="R159" s="136"/>
      <c r="S159" s="139"/>
      <c r="T159" s="136"/>
      <c r="U159" s="139"/>
      <c r="V159" s="45"/>
      <c r="W159" s="136"/>
      <c r="X159" s="134"/>
      <c r="Y159" s="166"/>
      <c r="Z159" s="126" t="s">
        <v>12</v>
      </c>
      <c r="AA159" s="130"/>
      <c r="AB159" s="126"/>
      <c r="AC159" s="130"/>
      <c r="AD159" s="126"/>
      <c r="AE159" s="130"/>
      <c r="AF159" s="126"/>
      <c r="AG159" s="43"/>
      <c r="AH159" s="44"/>
      <c r="AI159" s="45"/>
      <c r="AJ159" s="46"/>
      <c r="AK159" s="41"/>
      <c r="AL159" s="47"/>
      <c r="AM159" s="48">
        <v>1</v>
      </c>
      <c r="AN159" s="111"/>
      <c r="AO159" s="42"/>
      <c r="AP159" s="42"/>
      <c r="AQ159" s="115"/>
      <c r="AR159" s="75"/>
      <c r="AS159" s="40">
        <f t="shared" si="22"/>
        <v>1</v>
      </c>
      <c r="AT159" s="40" t="s">
        <v>1756</v>
      </c>
      <c r="AW159" s="42">
        <f t="shared" si="23"/>
        <v>-100</v>
      </c>
      <c r="AX159" s="42">
        <f t="shared" si="24"/>
        <v>4</v>
      </c>
      <c r="AY159" s="42">
        <f t="shared" si="25"/>
        <v>3</v>
      </c>
      <c r="AZ159" s="42">
        <f t="shared" si="26"/>
        <v>0</v>
      </c>
      <c r="BA159" s="42">
        <f>COUNTA(#REF!)</f>
        <v>1</v>
      </c>
      <c r="BB159" s="42">
        <f t="shared" si="27"/>
        <v>1</v>
      </c>
      <c r="BC159" s="42"/>
      <c r="BD159" s="42">
        <v>-1</v>
      </c>
      <c r="BE159" s="42">
        <v>0</v>
      </c>
    </row>
    <row r="160" spans="1:61" ht="26" hidden="1" x14ac:dyDescent="0.35">
      <c r="A160" s="199" t="s">
        <v>2639</v>
      </c>
      <c r="B160" s="199" t="s">
        <v>2055</v>
      </c>
      <c r="C160" s="200" t="s">
        <v>1445</v>
      </c>
      <c r="D160" s="200" t="s">
        <v>131</v>
      </c>
      <c r="E160" s="200">
        <v>500</v>
      </c>
      <c r="F160" s="200" t="s">
        <v>1849</v>
      </c>
      <c r="G160" s="85"/>
      <c r="H160" s="86"/>
      <c r="I160" s="87"/>
      <c r="J160" s="88"/>
      <c r="K160" s="89"/>
      <c r="L160" s="90"/>
      <c r="M160" s="165"/>
      <c r="N160" s="134"/>
      <c r="O160" s="45"/>
      <c r="P160" s="130"/>
      <c r="Q160" s="45"/>
      <c r="R160" s="136"/>
      <c r="S160" s="139"/>
      <c r="T160" s="136"/>
      <c r="U160" s="139"/>
      <c r="V160" s="45"/>
      <c r="W160" s="136"/>
      <c r="X160" s="134"/>
      <c r="Y160" s="166"/>
      <c r="Z160" s="126"/>
      <c r="AA160" s="130"/>
      <c r="AB160" s="126"/>
      <c r="AC160" s="130"/>
      <c r="AD160" s="126"/>
      <c r="AE160" s="130"/>
      <c r="AF160" s="126"/>
      <c r="AG160" s="43"/>
      <c r="AH160" s="44"/>
      <c r="AI160" s="45"/>
      <c r="AJ160" s="46"/>
      <c r="AK160" s="41"/>
      <c r="AL160" s="47"/>
      <c r="AM160" s="48">
        <v>1</v>
      </c>
      <c r="AN160" s="111"/>
      <c r="AO160" s="42"/>
      <c r="AP160" s="42"/>
      <c r="AQ160" s="115"/>
      <c r="AR160" s="75"/>
      <c r="AS160" s="40">
        <f t="shared" si="22"/>
        <v>1</v>
      </c>
      <c r="AT160" s="40"/>
      <c r="AW160" s="42"/>
      <c r="AX160" s="42"/>
      <c r="AY160" s="42"/>
      <c r="AZ160" s="42"/>
      <c r="BA160" s="42"/>
      <c r="BB160" s="42"/>
      <c r="BC160" s="42"/>
      <c r="BD160" s="42"/>
      <c r="BE160" s="42"/>
      <c r="BH160" s="31" t="s">
        <v>2250</v>
      </c>
      <c r="BI160" s="31" t="s">
        <v>2249</v>
      </c>
    </row>
    <row r="161" spans="1:61" hidden="1" x14ac:dyDescent="0.35">
      <c r="A161" s="199" t="s">
        <v>2639</v>
      </c>
      <c r="B161" s="199" t="s">
        <v>2055</v>
      </c>
      <c r="C161" s="200" t="s">
        <v>1451</v>
      </c>
      <c r="D161" s="200" t="s">
        <v>131</v>
      </c>
      <c r="E161" s="200">
        <v>200</v>
      </c>
      <c r="F161" s="200" t="s">
        <v>1473</v>
      </c>
      <c r="G161" s="85"/>
      <c r="H161" s="86"/>
      <c r="I161" s="87"/>
      <c r="J161" s="88"/>
      <c r="K161" s="89"/>
      <c r="L161" s="90"/>
      <c r="M161" s="165"/>
      <c r="N161" s="134"/>
      <c r="O161" s="45"/>
      <c r="P161" s="130"/>
      <c r="Q161" s="45"/>
      <c r="R161" s="136"/>
      <c r="S161" s="139"/>
      <c r="T161" s="136"/>
      <c r="U161" s="139"/>
      <c r="V161" s="45"/>
      <c r="W161" s="136"/>
      <c r="X161" s="134"/>
      <c r="Y161" s="166"/>
      <c r="Z161" s="126"/>
      <c r="AA161" s="130"/>
      <c r="AB161" s="126"/>
      <c r="AC161" s="130"/>
      <c r="AD161" s="126"/>
      <c r="AE161" s="130"/>
      <c r="AF161" s="126"/>
      <c r="AG161" s="43"/>
      <c r="AH161" s="44"/>
      <c r="AI161" s="45">
        <v>2</v>
      </c>
      <c r="AJ161" s="46"/>
      <c r="AK161" s="41"/>
      <c r="AL161" s="47"/>
      <c r="AM161" s="48">
        <v>1</v>
      </c>
      <c r="AN161" s="111"/>
      <c r="AO161" s="42"/>
      <c r="AP161" s="42"/>
      <c r="AQ161" s="115"/>
      <c r="AR161" s="75"/>
      <c r="AS161" s="40">
        <f t="shared" si="22"/>
        <v>3</v>
      </c>
      <c r="AT161" s="40"/>
      <c r="AW161" s="42"/>
      <c r="AX161" s="42"/>
      <c r="AY161" s="42"/>
      <c r="AZ161" s="42"/>
      <c r="BA161" s="42"/>
      <c r="BB161" s="42"/>
      <c r="BC161" s="42"/>
      <c r="BD161" s="42"/>
      <c r="BE161" s="42"/>
      <c r="BH161" s="31" t="s">
        <v>2260</v>
      </c>
      <c r="BI161" s="31" t="s">
        <v>2255</v>
      </c>
    </row>
    <row r="162" spans="1:61" hidden="1" x14ac:dyDescent="0.35">
      <c r="A162" s="199" t="s">
        <v>2639</v>
      </c>
      <c r="B162" s="199" t="s">
        <v>2055</v>
      </c>
      <c r="C162" s="200" t="s">
        <v>1440</v>
      </c>
      <c r="D162" s="200" t="s">
        <v>131</v>
      </c>
      <c r="E162" s="200">
        <v>500</v>
      </c>
      <c r="F162" s="200" t="s">
        <v>1479</v>
      </c>
      <c r="G162" s="85">
        <v>2</v>
      </c>
      <c r="H162" s="86"/>
      <c r="I162" s="87"/>
      <c r="J162" s="88"/>
      <c r="K162" s="89"/>
      <c r="L162" s="90"/>
      <c r="M162" s="165"/>
      <c r="N162" s="134"/>
      <c r="O162" s="45"/>
      <c r="P162" s="130"/>
      <c r="Q162" s="45"/>
      <c r="R162" s="136"/>
      <c r="S162" s="139"/>
      <c r="T162" s="136"/>
      <c r="U162" s="139"/>
      <c r="V162" s="45"/>
      <c r="W162" s="136"/>
      <c r="X162" s="134"/>
      <c r="Y162" s="166"/>
      <c r="Z162" s="126"/>
      <c r="AA162" s="130"/>
      <c r="AB162" s="126"/>
      <c r="AC162" s="130"/>
      <c r="AD162" s="126"/>
      <c r="AE162" s="130"/>
      <c r="AF162" s="126"/>
      <c r="AG162" s="43"/>
      <c r="AH162" s="44"/>
      <c r="AI162" s="45"/>
      <c r="AJ162" s="46"/>
      <c r="AK162" s="41"/>
      <c r="AL162" s="47"/>
      <c r="AM162" s="48">
        <v>1</v>
      </c>
      <c r="AN162" s="111"/>
      <c r="AO162" s="42"/>
      <c r="AP162" s="42"/>
      <c r="AQ162" s="115"/>
      <c r="AR162" s="75"/>
      <c r="AS162" s="40">
        <f t="shared" si="22"/>
        <v>1</v>
      </c>
      <c r="AT162" s="40"/>
      <c r="AW162" s="42"/>
      <c r="AX162" s="42"/>
      <c r="AY162" s="42"/>
      <c r="AZ162" s="42"/>
      <c r="BA162" s="42"/>
      <c r="BB162" s="42"/>
      <c r="BC162" s="42"/>
      <c r="BD162" s="42"/>
      <c r="BE162" s="42"/>
      <c r="BH162" s="31" t="s">
        <v>2250</v>
      </c>
      <c r="BI162" s="31" t="s">
        <v>2249</v>
      </c>
    </row>
    <row r="163" spans="1:61" hidden="1" x14ac:dyDescent="0.35">
      <c r="A163" s="199" t="s">
        <v>2639</v>
      </c>
      <c r="B163" s="199" t="s">
        <v>2055</v>
      </c>
      <c r="C163" s="200" t="s">
        <v>1457</v>
      </c>
      <c r="D163" s="200" t="s">
        <v>131</v>
      </c>
      <c r="E163" s="200">
        <v>1000</v>
      </c>
      <c r="F163" s="200"/>
      <c r="G163" s="85"/>
      <c r="H163" s="86"/>
      <c r="I163" s="87">
        <v>2</v>
      </c>
      <c r="J163" s="88"/>
      <c r="K163" s="89"/>
      <c r="L163" s="90"/>
      <c r="M163" s="165" t="s">
        <v>12</v>
      </c>
      <c r="N163" s="134"/>
      <c r="O163" s="45"/>
      <c r="P163" s="130"/>
      <c r="Q163" s="45"/>
      <c r="R163" s="136"/>
      <c r="S163" s="139"/>
      <c r="T163" s="136"/>
      <c r="U163" s="139"/>
      <c r="V163" s="45"/>
      <c r="W163" s="136"/>
      <c r="X163" s="134"/>
      <c r="Y163" s="166"/>
      <c r="Z163" s="126"/>
      <c r="AA163" s="130"/>
      <c r="AB163" s="126"/>
      <c r="AC163" s="130"/>
      <c r="AD163" s="126"/>
      <c r="AE163" s="130"/>
      <c r="AF163" s="126"/>
      <c r="AG163" s="43"/>
      <c r="AH163" s="44"/>
      <c r="AI163" s="45"/>
      <c r="AJ163" s="46"/>
      <c r="AK163" s="41"/>
      <c r="AL163" s="47"/>
      <c r="AM163" s="48">
        <v>1</v>
      </c>
      <c r="AN163" s="111"/>
      <c r="AO163" s="42"/>
      <c r="AP163" s="42"/>
      <c r="AQ163" s="115"/>
      <c r="AR163" s="75"/>
      <c r="AS163" s="40">
        <f t="shared" si="22"/>
        <v>1</v>
      </c>
      <c r="AT163" s="40"/>
      <c r="AW163" s="42"/>
      <c r="AX163" s="42"/>
      <c r="AY163" s="42"/>
      <c r="AZ163" s="42"/>
      <c r="BA163" s="42"/>
      <c r="BB163" s="42"/>
      <c r="BC163" s="42"/>
      <c r="BD163" s="42"/>
      <c r="BE163" s="42"/>
      <c r="BH163" s="31" t="s">
        <v>2250</v>
      </c>
      <c r="BI163" s="31" t="s">
        <v>2249</v>
      </c>
    </row>
    <row r="164" spans="1:61" ht="26" hidden="1" x14ac:dyDescent="0.35">
      <c r="A164" s="199" t="s">
        <v>2639</v>
      </c>
      <c r="B164" s="199" t="s">
        <v>2055</v>
      </c>
      <c r="C164" s="200" t="s">
        <v>1441</v>
      </c>
      <c r="D164" s="200" t="s">
        <v>131</v>
      </c>
      <c r="E164" s="200">
        <v>500</v>
      </c>
      <c r="F164" s="200" t="s">
        <v>1850</v>
      </c>
      <c r="G164" s="85">
        <v>1</v>
      </c>
      <c r="H164" s="86"/>
      <c r="I164" s="87"/>
      <c r="J164" s="88"/>
      <c r="K164" s="89"/>
      <c r="L164" s="90"/>
      <c r="M164" s="165"/>
      <c r="N164" s="134"/>
      <c r="O164" s="45"/>
      <c r="P164" s="130"/>
      <c r="Q164" s="45"/>
      <c r="R164" s="136"/>
      <c r="S164" s="139"/>
      <c r="T164" s="136"/>
      <c r="U164" s="139"/>
      <c r="V164" s="45"/>
      <c r="W164" s="136"/>
      <c r="X164" s="134"/>
      <c r="Y164" s="166"/>
      <c r="Z164" s="126"/>
      <c r="AA164" s="130"/>
      <c r="AB164" s="126"/>
      <c r="AC164" s="130"/>
      <c r="AD164" s="126" t="s">
        <v>12</v>
      </c>
      <c r="AE164" s="130"/>
      <c r="AF164" s="126"/>
      <c r="AG164" s="43"/>
      <c r="AH164" s="44"/>
      <c r="AI164" s="45"/>
      <c r="AJ164" s="46"/>
      <c r="AK164" s="41"/>
      <c r="AL164" s="47"/>
      <c r="AM164" s="48">
        <v>1</v>
      </c>
      <c r="AN164" s="111"/>
      <c r="AO164" s="42"/>
      <c r="AP164" s="42"/>
      <c r="AQ164" s="115"/>
      <c r="AR164" s="75"/>
      <c r="AS164" s="40">
        <f t="shared" si="22"/>
        <v>1</v>
      </c>
      <c r="AT164" s="40"/>
      <c r="AW164" s="42"/>
      <c r="AX164" s="42"/>
      <c r="AY164" s="42"/>
      <c r="AZ164" s="42"/>
      <c r="BA164" s="42"/>
      <c r="BB164" s="42"/>
      <c r="BC164" s="42"/>
      <c r="BD164" s="42"/>
      <c r="BE164" s="42"/>
      <c r="BH164" s="31" t="s">
        <v>2250</v>
      </c>
      <c r="BI164" s="31" t="s">
        <v>2249</v>
      </c>
    </row>
    <row r="165" spans="1:61" ht="26" hidden="1" x14ac:dyDescent="0.35">
      <c r="A165" s="199" t="s">
        <v>2639</v>
      </c>
      <c r="B165" s="199" t="s">
        <v>2055</v>
      </c>
      <c r="C165" s="200" t="s">
        <v>1446</v>
      </c>
      <c r="D165" s="200" t="s">
        <v>131</v>
      </c>
      <c r="E165" s="200">
        <v>500</v>
      </c>
      <c r="F165" s="200" t="s">
        <v>1480</v>
      </c>
      <c r="G165" s="85"/>
      <c r="H165" s="86"/>
      <c r="I165" s="87"/>
      <c r="J165" s="88"/>
      <c r="K165" s="89"/>
      <c r="L165" s="90"/>
      <c r="M165" s="165"/>
      <c r="N165" s="134"/>
      <c r="O165" s="45"/>
      <c r="P165" s="130"/>
      <c r="Q165" s="45"/>
      <c r="R165" s="136"/>
      <c r="S165" s="139"/>
      <c r="T165" s="136"/>
      <c r="U165" s="139"/>
      <c r="V165" s="45"/>
      <c r="W165" s="136"/>
      <c r="X165" s="134"/>
      <c r="Y165" s="166"/>
      <c r="Z165" s="126"/>
      <c r="AA165" s="130"/>
      <c r="AB165" s="126"/>
      <c r="AC165" s="130"/>
      <c r="AD165" s="126"/>
      <c r="AE165" s="130"/>
      <c r="AF165" s="126"/>
      <c r="AG165" s="43"/>
      <c r="AH165" s="44"/>
      <c r="AI165" s="45"/>
      <c r="AJ165" s="46"/>
      <c r="AK165" s="41"/>
      <c r="AL165" s="47"/>
      <c r="AM165" s="48">
        <v>1</v>
      </c>
      <c r="AN165" s="111"/>
      <c r="AO165" s="42"/>
      <c r="AP165" s="42"/>
      <c r="AQ165" s="115"/>
      <c r="AR165" s="75"/>
      <c r="AS165" s="40">
        <f t="shared" si="22"/>
        <v>1</v>
      </c>
      <c r="AT165" s="40"/>
      <c r="AW165" s="42"/>
      <c r="AX165" s="42"/>
      <c r="AY165" s="42"/>
      <c r="AZ165" s="42"/>
      <c r="BA165" s="42"/>
      <c r="BB165" s="42"/>
      <c r="BC165" s="42"/>
      <c r="BD165" s="42"/>
      <c r="BE165" s="42"/>
      <c r="BH165" s="31" t="s">
        <v>2250</v>
      </c>
      <c r="BI165" s="31" t="s">
        <v>2249</v>
      </c>
    </row>
    <row r="166" spans="1:61" ht="26" hidden="1" x14ac:dyDescent="0.35">
      <c r="A166" s="199" t="s">
        <v>2639</v>
      </c>
      <c r="B166" s="199" t="s">
        <v>2055</v>
      </c>
      <c r="C166" s="200" t="s">
        <v>1449</v>
      </c>
      <c r="D166" s="200" t="s">
        <v>131</v>
      </c>
      <c r="E166" s="200">
        <v>500</v>
      </c>
      <c r="F166" s="200" t="s">
        <v>1481</v>
      </c>
      <c r="G166" s="85"/>
      <c r="H166" s="86"/>
      <c r="I166" s="87"/>
      <c r="J166" s="88"/>
      <c r="K166" s="89"/>
      <c r="L166" s="90"/>
      <c r="M166" s="165"/>
      <c r="N166" s="134"/>
      <c r="O166" s="45"/>
      <c r="P166" s="130"/>
      <c r="Q166" s="45"/>
      <c r="R166" s="136"/>
      <c r="S166" s="139"/>
      <c r="T166" s="136"/>
      <c r="U166" s="139"/>
      <c r="V166" s="45"/>
      <c r="W166" s="136"/>
      <c r="X166" s="134"/>
      <c r="Y166" s="166"/>
      <c r="Z166" s="126"/>
      <c r="AA166" s="130"/>
      <c r="AB166" s="126"/>
      <c r="AC166" s="130"/>
      <c r="AD166" s="126"/>
      <c r="AE166" s="130"/>
      <c r="AF166" s="126"/>
      <c r="AG166" s="43"/>
      <c r="AH166" s="44"/>
      <c r="AI166" s="45"/>
      <c r="AJ166" s="46"/>
      <c r="AK166" s="41"/>
      <c r="AL166" s="47"/>
      <c r="AM166" s="48">
        <v>1</v>
      </c>
      <c r="AN166" s="111"/>
      <c r="AO166" s="42"/>
      <c r="AP166" s="42"/>
      <c r="AQ166" s="115"/>
      <c r="AR166" s="75"/>
      <c r="AS166" s="40">
        <f t="shared" si="22"/>
        <v>1</v>
      </c>
      <c r="AT166" s="40"/>
      <c r="AW166" s="42"/>
      <c r="AX166" s="42"/>
      <c r="AY166" s="42"/>
      <c r="AZ166" s="42"/>
      <c r="BA166" s="42"/>
      <c r="BB166" s="42"/>
      <c r="BC166" s="42"/>
      <c r="BD166" s="42"/>
      <c r="BE166" s="42"/>
      <c r="BH166" s="31" t="s">
        <v>2250</v>
      </c>
      <c r="BI166" s="31" t="s">
        <v>2249</v>
      </c>
    </row>
    <row r="167" spans="1:61" ht="26" hidden="1" x14ac:dyDescent="0.35">
      <c r="A167" s="199" t="s">
        <v>2639</v>
      </c>
      <c r="B167" s="199" t="s">
        <v>2055</v>
      </c>
      <c r="C167" s="200" t="s">
        <v>1447</v>
      </c>
      <c r="D167" s="200" t="s">
        <v>131</v>
      </c>
      <c r="E167" s="200">
        <v>500</v>
      </c>
      <c r="F167" s="200" t="s">
        <v>1482</v>
      </c>
      <c r="G167" s="85"/>
      <c r="H167" s="86"/>
      <c r="I167" s="87"/>
      <c r="J167" s="88"/>
      <c r="K167" s="89"/>
      <c r="L167" s="90"/>
      <c r="M167" s="165"/>
      <c r="N167" s="134"/>
      <c r="O167" s="45"/>
      <c r="P167" s="130"/>
      <c r="Q167" s="45"/>
      <c r="R167" s="136"/>
      <c r="S167" s="139"/>
      <c r="T167" s="136"/>
      <c r="U167" s="139"/>
      <c r="V167" s="45"/>
      <c r="W167" s="136"/>
      <c r="X167" s="134"/>
      <c r="Y167" s="166"/>
      <c r="Z167" s="126"/>
      <c r="AA167" s="130"/>
      <c r="AB167" s="126"/>
      <c r="AC167" s="130"/>
      <c r="AD167" s="126"/>
      <c r="AE167" s="130"/>
      <c r="AF167" s="126"/>
      <c r="AG167" s="43"/>
      <c r="AH167" s="44"/>
      <c r="AI167" s="45"/>
      <c r="AJ167" s="46"/>
      <c r="AK167" s="41"/>
      <c r="AL167" s="47"/>
      <c r="AM167" s="48">
        <v>1</v>
      </c>
      <c r="AN167" s="111"/>
      <c r="AO167" s="42"/>
      <c r="AP167" s="42"/>
      <c r="AQ167" s="115"/>
      <c r="AR167" s="75"/>
      <c r="AS167" s="40">
        <f t="shared" si="22"/>
        <v>1</v>
      </c>
      <c r="AT167" s="40"/>
      <c r="AW167" s="42"/>
      <c r="AX167" s="42"/>
      <c r="AY167" s="42"/>
      <c r="AZ167" s="42"/>
      <c r="BA167" s="42"/>
      <c r="BB167" s="42"/>
      <c r="BC167" s="42"/>
      <c r="BD167" s="42"/>
      <c r="BE167" s="42"/>
      <c r="BH167" s="31" t="s">
        <v>2250</v>
      </c>
      <c r="BI167" s="31" t="s">
        <v>2249</v>
      </c>
    </row>
    <row r="168" spans="1:61" ht="26" hidden="1" x14ac:dyDescent="0.35">
      <c r="A168" s="199" t="s">
        <v>2639</v>
      </c>
      <c r="B168" s="199" t="s">
        <v>2055</v>
      </c>
      <c r="C168" s="200" t="s">
        <v>1448</v>
      </c>
      <c r="D168" s="200" t="s">
        <v>131</v>
      </c>
      <c r="E168" s="200">
        <v>500</v>
      </c>
      <c r="F168" s="200" t="s">
        <v>1483</v>
      </c>
      <c r="G168" s="85"/>
      <c r="H168" s="86"/>
      <c r="I168" s="87"/>
      <c r="J168" s="88"/>
      <c r="K168" s="89"/>
      <c r="L168" s="90"/>
      <c r="M168" s="165"/>
      <c r="N168" s="134"/>
      <c r="O168" s="45"/>
      <c r="P168" s="130"/>
      <c r="Q168" s="45"/>
      <c r="R168" s="136"/>
      <c r="S168" s="139"/>
      <c r="T168" s="136"/>
      <c r="U168" s="139"/>
      <c r="V168" s="45"/>
      <c r="W168" s="136"/>
      <c r="X168" s="134"/>
      <c r="Y168" s="166"/>
      <c r="Z168" s="126"/>
      <c r="AA168" s="130"/>
      <c r="AB168" s="126"/>
      <c r="AC168" s="130"/>
      <c r="AD168" s="126"/>
      <c r="AE168" s="130"/>
      <c r="AF168" s="126"/>
      <c r="AG168" s="43"/>
      <c r="AH168" s="44"/>
      <c r="AI168" s="45"/>
      <c r="AJ168" s="46"/>
      <c r="AK168" s="41"/>
      <c r="AL168" s="47"/>
      <c r="AM168" s="48">
        <v>1</v>
      </c>
      <c r="AN168" s="111"/>
      <c r="AO168" s="42"/>
      <c r="AP168" s="42"/>
      <c r="AQ168" s="115"/>
      <c r="AR168" s="75"/>
      <c r="AS168" s="40">
        <f t="shared" si="22"/>
        <v>1</v>
      </c>
      <c r="AT168" s="40"/>
      <c r="AW168" s="42"/>
      <c r="AX168" s="42"/>
      <c r="AY168" s="42"/>
      <c r="AZ168" s="42"/>
      <c r="BA168" s="42"/>
      <c r="BB168" s="42"/>
      <c r="BC168" s="42"/>
      <c r="BD168" s="42"/>
      <c r="BE168" s="42"/>
      <c r="BH168" s="31" t="s">
        <v>2250</v>
      </c>
      <c r="BI168" s="31" t="s">
        <v>2249</v>
      </c>
    </row>
    <row r="169" spans="1:61" hidden="1" x14ac:dyDescent="0.35">
      <c r="A169" s="199" t="s">
        <v>2639</v>
      </c>
      <c r="B169" s="199" t="s">
        <v>2055</v>
      </c>
      <c r="C169" s="200" t="s">
        <v>1444</v>
      </c>
      <c r="D169" s="200" t="s">
        <v>131</v>
      </c>
      <c r="E169" s="200">
        <v>800</v>
      </c>
      <c r="F169" s="200" t="s">
        <v>1484</v>
      </c>
      <c r="G169" s="85">
        <v>1</v>
      </c>
      <c r="H169" s="86"/>
      <c r="I169" s="87"/>
      <c r="J169" s="88"/>
      <c r="K169" s="89"/>
      <c r="L169" s="90"/>
      <c r="M169" s="165"/>
      <c r="N169" s="134"/>
      <c r="O169" s="45"/>
      <c r="P169" s="130"/>
      <c r="Q169" s="45"/>
      <c r="R169" s="136"/>
      <c r="S169" s="139"/>
      <c r="T169" s="136"/>
      <c r="U169" s="139"/>
      <c r="V169" s="45"/>
      <c r="W169" s="136"/>
      <c r="X169" s="134"/>
      <c r="Y169" s="166"/>
      <c r="Z169" s="126"/>
      <c r="AA169" s="130"/>
      <c r="AB169" s="126"/>
      <c r="AC169" s="130"/>
      <c r="AD169" s="126" t="s">
        <v>12</v>
      </c>
      <c r="AE169" s="130" t="s">
        <v>12</v>
      </c>
      <c r="AF169" s="126"/>
      <c r="AG169" s="43"/>
      <c r="AH169" s="44"/>
      <c r="AI169" s="45"/>
      <c r="AJ169" s="46"/>
      <c r="AK169" s="41"/>
      <c r="AL169" s="47"/>
      <c r="AM169" s="48">
        <v>1</v>
      </c>
      <c r="AN169" s="111"/>
      <c r="AO169" s="42"/>
      <c r="AP169" s="42"/>
      <c r="AQ169" s="115"/>
      <c r="AR169" s="75"/>
      <c r="AS169" s="40">
        <f t="shared" si="22"/>
        <v>1</v>
      </c>
      <c r="AT169" s="40"/>
      <c r="AW169" s="42"/>
      <c r="AX169" s="42"/>
      <c r="AY169" s="42"/>
      <c r="AZ169" s="42"/>
      <c r="BA169" s="42"/>
      <c r="BB169" s="42"/>
      <c r="BC169" s="42"/>
      <c r="BD169" s="42"/>
      <c r="BE169" s="42"/>
      <c r="BH169" s="31" t="s">
        <v>2250</v>
      </c>
      <c r="BI169" s="31" t="s">
        <v>2249</v>
      </c>
    </row>
    <row r="170" spans="1:61" hidden="1" x14ac:dyDescent="0.35">
      <c r="A170" s="199" t="s">
        <v>2639</v>
      </c>
      <c r="B170" s="199" t="s">
        <v>2055</v>
      </c>
      <c r="C170" s="200" t="s">
        <v>1455</v>
      </c>
      <c r="D170" s="200" t="s">
        <v>131</v>
      </c>
      <c r="E170" s="200">
        <v>300</v>
      </c>
      <c r="F170" s="200" t="s">
        <v>1456</v>
      </c>
      <c r="G170" s="85"/>
      <c r="H170" s="86"/>
      <c r="I170" s="87"/>
      <c r="J170" s="88"/>
      <c r="K170" s="89"/>
      <c r="L170" s="90"/>
      <c r="M170" s="165"/>
      <c r="N170" s="134"/>
      <c r="O170" s="45"/>
      <c r="P170" s="130"/>
      <c r="Q170" s="45"/>
      <c r="R170" s="136"/>
      <c r="S170" s="139"/>
      <c r="T170" s="136"/>
      <c r="U170" s="139"/>
      <c r="V170" s="45"/>
      <c r="W170" s="136"/>
      <c r="X170" s="134"/>
      <c r="Y170" s="166"/>
      <c r="Z170" s="126"/>
      <c r="AA170" s="130"/>
      <c r="AB170" s="126"/>
      <c r="AC170" s="130"/>
      <c r="AD170" s="126"/>
      <c r="AE170" s="130"/>
      <c r="AF170" s="126"/>
      <c r="AG170" s="43"/>
      <c r="AH170" s="44"/>
      <c r="AI170" s="45"/>
      <c r="AJ170" s="46"/>
      <c r="AK170" s="41">
        <v>2</v>
      </c>
      <c r="AL170" s="47"/>
      <c r="AM170" s="48">
        <v>1</v>
      </c>
      <c r="AN170" s="111"/>
      <c r="AO170" s="42"/>
      <c r="AP170" s="42"/>
      <c r="AQ170" s="115"/>
      <c r="AR170" s="75"/>
      <c r="AS170" s="40">
        <f t="shared" si="22"/>
        <v>3</v>
      </c>
      <c r="AT170" s="40"/>
      <c r="AW170" s="42"/>
      <c r="AX170" s="42"/>
      <c r="AY170" s="42"/>
      <c r="AZ170" s="42"/>
      <c r="BA170" s="42"/>
      <c r="BB170" s="42"/>
      <c r="BC170" s="42"/>
      <c r="BD170" s="42"/>
      <c r="BE170" s="42"/>
      <c r="BH170" s="31" t="s">
        <v>2254</v>
      </c>
      <c r="BI170" s="31" t="s">
        <v>2255</v>
      </c>
    </row>
    <row r="171" spans="1:61" ht="26" hidden="1" x14ac:dyDescent="0.35">
      <c r="A171" s="199" t="s">
        <v>2639</v>
      </c>
      <c r="B171" s="199" t="s">
        <v>2055</v>
      </c>
      <c r="C171" s="200" t="s">
        <v>1461</v>
      </c>
      <c r="D171" s="200" t="s">
        <v>131</v>
      </c>
      <c r="E171" s="200">
        <v>300</v>
      </c>
      <c r="F171" s="200" t="s">
        <v>1857</v>
      </c>
      <c r="G171" s="85"/>
      <c r="H171" s="86">
        <v>1</v>
      </c>
      <c r="I171" s="87"/>
      <c r="J171" s="88"/>
      <c r="K171" s="89"/>
      <c r="L171" s="90"/>
      <c r="M171" s="165"/>
      <c r="N171" s="134"/>
      <c r="O171" s="45"/>
      <c r="P171" s="130"/>
      <c r="Q171" s="45"/>
      <c r="R171" s="136"/>
      <c r="S171" s="139"/>
      <c r="T171" s="136"/>
      <c r="U171" s="139"/>
      <c r="V171" s="45"/>
      <c r="W171" s="136"/>
      <c r="X171" s="134"/>
      <c r="Y171" s="166"/>
      <c r="Z171" s="126"/>
      <c r="AA171" s="130"/>
      <c r="AB171" s="126"/>
      <c r="AC171" s="130"/>
      <c r="AD171" s="126"/>
      <c r="AE171" s="130"/>
      <c r="AF171" s="126"/>
      <c r="AG171" s="43">
        <v>1</v>
      </c>
      <c r="AH171" s="44"/>
      <c r="AI171" s="45"/>
      <c r="AJ171" s="46"/>
      <c r="AK171" s="41">
        <v>2</v>
      </c>
      <c r="AL171" s="47"/>
      <c r="AM171" s="48"/>
      <c r="AN171" s="111"/>
      <c r="AO171" s="42"/>
      <c r="AP171" s="42"/>
      <c r="AQ171" s="115"/>
      <c r="AR171" s="75"/>
      <c r="AS171" s="40">
        <f t="shared" si="22"/>
        <v>3</v>
      </c>
      <c r="AT171" s="40"/>
      <c r="AW171" s="42"/>
      <c r="AX171" s="42"/>
      <c r="AY171" s="42"/>
      <c r="AZ171" s="42"/>
      <c r="BA171" s="42"/>
      <c r="BB171" s="42"/>
      <c r="BC171" s="42"/>
      <c r="BD171" s="42"/>
      <c r="BE171" s="42"/>
      <c r="BH171" s="31" t="s">
        <v>2268</v>
      </c>
      <c r="BI171" s="31" t="s">
        <v>2248</v>
      </c>
    </row>
    <row r="172" spans="1:61" ht="26" hidden="1" x14ac:dyDescent="0.35">
      <c r="A172" s="199" t="s">
        <v>2639</v>
      </c>
      <c r="B172" s="199" t="s">
        <v>2055</v>
      </c>
      <c r="C172" s="200" t="s">
        <v>1464</v>
      </c>
      <c r="D172" s="200" t="s">
        <v>131</v>
      </c>
      <c r="E172" s="200">
        <v>300</v>
      </c>
      <c r="F172" s="200" t="s">
        <v>1871</v>
      </c>
      <c r="G172" s="85"/>
      <c r="H172" s="86">
        <v>1</v>
      </c>
      <c r="I172" s="87"/>
      <c r="J172" s="88"/>
      <c r="K172" s="89"/>
      <c r="L172" s="90"/>
      <c r="M172" s="165"/>
      <c r="N172" s="134"/>
      <c r="O172" s="45"/>
      <c r="P172" s="130"/>
      <c r="Q172" s="45"/>
      <c r="R172" s="136"/>
      <c r="S172" s="139"/>
      <c r="T172" s="136"/>
      <c r="U172" s="139"/>
      <c r="V172" s="45"/>
      <c r="W172" s="136"/>
      <c r="X172" s="134"/>
      <c r="Y172" s="166"/>
      <c r="Z172" s="126"/>
      <c r="AA172" s="130"/>
      <c r="AB172" s="126"/>
      <c r="AC172" s="130"/>
      <c r="AD172" s="126"/>
      <c r="AE172" s="130"/>
      <c r="AF172" s="126"/>
      <c r="AG172" s="43">
        <v>1</v>
      </c>
      <c r="AH172" s="44"/>
      <c r="AI172" s="45"/>
      <c r="AJ172" s="46">
        <v>2</v>
      </c>
      <c r="AK172" s="41"/>
      <c r="AL172" s="47"/>
      <c r="AM172" s="48"/>
      <c r="AN172" s="111"/>
      <c r="AO172" s="42"/>
      <c r="AP172" s="42"/>
      <c r="AQ172" s="115"/>
      <c r="AR172" s="75"/>
      <c r="AS172" s="40">
        <f t="shared" si="22"/>
        <v>3</v>
      </c>
      <c r="AT172" s="40"/>
      <c r="AW172" s="42"/>
      <c r="AX172" s="42"/>
      <c r="AY172" s="42"/>
      <c r="AZ172" s="42"/>
      <c r="BA172" s="42"/>
      <c r="BB172" s="42"/>
      <c r="BC172" s="42"/>
      <c r="BD172" s="42"/>
      <c r="BE172" s="42"/>
      <c r="BH172" s="31" t="s">
        <v>2272</v>
      </c>
      <c r="BI172" s="31" t="s">
        <v>2248</v>
      </c>
    </row>
    <row r="173" spans="1:61" ht="26" hidden="1" x14ac:dyDescent="0.35">
      <c r="A173" s="199" t="s">
        <v>2639</v>
      </c>
      <c r="B173" s="199" t="s">
        <v>2055</v>
      </c>
      <c r="C173" s="200" t="s">
        <v>1460</v>
      </c>
      <c r="D173" s="200" t="s">
        <v>131</v>
      </c>
      <c r="E173" s="200">
        <v>300</v>
      </c>
      <c r="F173" s="200" t="s">
        <v>1475</v>
      </c>
      <c r="G173" s="85"/>
      <c r="H173" s="86">
        <v>1</v>
      </c>
      <c r="I173" s="87"/>
      <c r="J173" s="88"/>
      <c r="K173" s="89"/>
      <c r="L173" s="90"/>
      <c r="M173" s="165"/>
      <c r="N173" s="134"/>
      <c r="O173" s="45"/>
      <c r="P173" s="130"/>
      <c r="Q173" s="45"/>
      <c r="R173" s="136"/>
      <c r="S173" s="139"/>
      <c r="T173" s="136"/>
      <c r="U173" s="139"/>
      <c r="V173" s="45"/>
      <c r="W173" s="136"/>
      <c r="X173" s="134"/>
      <c r="Y173" s="166"/>
      <c r="Z173" s="126"/>
      <c r="AA173" s="130"/>
      <c r="AB173" s="126"/>
      <c r="AC173" s="130"/>
      <c r="AD173" s="126"/>
      <c r="AE173" s="130"/>
      <c r="AF173" s="126"/>
      <c r="AG173" s="43">
        <v>1</v>
      </c>
      <c r="AH173" s="44">
        <v>2</v>
      </c>
      <c r="AI173" s="45"/>
      <c r="AJ173" s="46"/>
      <c r="AK173" s="41"/>
      <c r="AL173" s="47"/>
      <c r="AM173" s="48"/>
      <c r="AN173" s="111"/>
      <c r="AO173" s="42"/>
      <c r="AP173" s="42"/>
      <c r="AQ173" s="115"/>
      <c r="AR173" s="75"/>
      <c r="AS173" s="40">
        <f t="shared" si="22"/>
        <v>3</v>
      </c>
      <c r="AT173" s="40"/>
      <c r="AW173" s="42"/>
      <c r="AX173" s="42"/>
      <c r="AY173" s="42"/>
      <c r="AZ173" s="42"/>
      <c r="BA173" s="42"/>
      <c r="BB173" s="42"/>
      <c r="BC173" s="42"/>
      <c r="BD173" s="42"/>
      <c r="BE173" s="42"/>
      <c r="BH173" s="31" t="s">
        <v>2267</v>
      </c>
      <c r="BI173" s="31" t="s">
        <v>2248</v>
      </c>
    </row>
    <row r="174" spans="1:61" hidden="1" x14ac:dyDescent="0.35">
      <c r="A174" s="199" t="s">
        <v>2639</v>
      </c>
      <c r="B174" s="199" t="s">
        <v>2055</v>
      </c>
      <c r="C174" s="200" t="s">
        <v>1465</v>
      </c>
      <c r="D174" s="200" t="s">
        <v>131</v>
      </c>
      <c r="E174" s="200">
        <v>300</v>
      </c>
      <c r="F174" s="200" t="s">
        <v>1466</v>
      </c>
      <c r="G174" s="85"/>
      <c r="H174" s="86"/>
      <c r="I174" s="87">
        <v>1</v>
      </c>
      <c r="J174" s="88"/>
      <c r="K174" s="89"/>
      <c r="L174" s="90"/>
      <c r="M174" s="165"/>
      <c r="N174" s="134"/>
      <c r="O174" s="45"/>
      <c r="P174" s="130"/>
      <c r="Q174" s="45"/>
      <c r="R174" s="136"/>
      <c r="S174" s="139"/>
      <c r="T174" s="136"/>
      <c r="U174" s="139"/>
      <c r="V174" s="45"/>
      <c r="W174" s="136"/>
      <c r="X174" s="134"/>
      <c r="Y174" s="166"/>
      <c r="Z174" s="126"/>
      <c r="AA174" s="130"/>
      <c r="AB174" s="126"/>
      <c r="AC174" s="130"/>
      <c r="AD174" s="126"/>
      <c r="AE174" s="130"/>
      <c r="AF174" s="126"/>
      <c r="AG174" s="43">
        <v>1</v>
      </c>
      <c r="AH174" s="44"/>
      <c r="AI174" s="45"/>
      <c r="AJ174" s="46"/>
      <c r="AK174" s="41"/>
      <c r="AL174" s="47"/>
      <c r="AM174" s="48"/>
      <c r="AN174" s="111"/>
      <c r="AO174" s="42"/>
      <c r="AP174" s="42"/>
      <c r="AQ174" s="115"/>
      <c r="AR174" s="75"/>
      <c r="AS174" s="40">
        <f t="shared" si="22"/>
        <v>1</v>
      </c>
      <c r="AT174" s="40"/>
      <c r="AW174" s="42"/>
      <c r="AX174" s="42"/>
      <c r="AY174" s="42"/>
      <c r="AZ174" s="42"/>
      <c r="BA174" s="42"/>
      <c r="BB174" s="42"/>
      <c r="BC174" s="42"/>
      <c r="BD174" s="42"/>
      <c r="BE174" s="42"/>
      <c r="BH174" s="31" t="s">
        <v>2266</v>
      </c>
      <c r="BI174" s="31" t="s">
        <v>2248</v>
      </c>
    </row>
    <row r="175" spans="1:61" ht="26" hidden="1" x14ac:dyDescent="0.35">
      <c r="A175" s="199" t="s">
        <v>2639</v>
      </c>
      <c r="B175" s="199" t="s">
        <v>2055</v>
      </c>
      <c r="C175" s="200" t="s">
        <v>1454</v>
      </c>
      <c r="D175" s="200" t="s">
        <v>131</v>
      </c>
      <c r="E175" s="200">
        <v>300</v>
      </c>
      <c r="F175" s="200" t="s">
        <v>1847</v>
      </c>
      <c r="G175" s="85"/>
      <c r="H175" s="86">
        <v>1</v>
      </c>
      <c r="I175" s="87"/>
      <c r="J175" s="88"/>
      <c r="K175" s="89"/>
      <c r="L175" s="90"/>
      <c r="M175" s="165"/>
      <c r="N175" s="134"/>
      <c r="O175" s="45"/>
      <c r="P175" s="130"/>
      <c r="Q175" s="45"/>
      <c r="R175" s="136"/>
      <c r="S175" s="139"/>
      <c r="T175" s="136"/>
      <c r="U175" s="139"/>
      <c r="V175" s="45"/>
      <c r="W175" s="136"/>
      <c r="X175" s="134"/>
      <c r="Y175" s="166"/>
      <c r="Z175" s="126"/>
      <c r="AA175" s="130"/>
      <c r="AB175" s="126"/>
      <c r="AC175" s="130"/>
      <c r="AD175" s="126"/>
      <c r="AE175" s="130"/>
      <c r="AF175" s="126"/>
      <c r="AG175" s="43"/>
      <c r="AH175" s="44"/>
      <c r="AI175" s="45"/>
      <c r="AJ175" s="46"/>
      <c r="AK175" s="41"/>
      <c r="AL175" s="47"/>
      <c r="AM175" s="48">
        <v>1</v>
      </c>
      <c r="AN175" s="111"/>
      <c r="AO175" s="42"/>
      <c r="AP175" s="42"/>
      <c r="AQ175" s="115"/>
      <c r="AR175" s="75"/>
      <c r="AS175" s="40">
        <f t="shared" si="22"/>
        <v>1</v>
      </c>
      <c r="AT175" s="40"/>
      <c r="AW175" s="42"/>
      <c r="AX175" s="42"/>
      <c r="AY175" s="42"/>
      <c r="AZ175" s="42"/>
      <c r="BA175" s="42"/>
      <c r="BB175" s="42"/>
      <c r="BC175" s="42"/>
      <c r="BD175" s="42"/>
      <c r="BE175" s="42"/>
      <c r="BH175" s="31" t="s">
        <v>2250</v>
      </c>
      <c r="BI175" s="31" t="s">
        <v>2249</v>
      </c>
    </row>
    <row r="176" spans="1:61" hidden="1" x14ac:dyDescent="0.35">
      <c r="A176" s="199" t="s">
        <v>2639</v>
      </c>
      <c r="B176" s="199" t="s">
        <v>2055</v>
      </c>
      <c r="C176" s="200" t="s">
        <v>1462</v>
      </c>
      <c r="D176" s="200" t="s">
        <v>131</v>
      </c>
      <c r="E176" s="200">
        <v>400</v>
      </c>
      <c r="F176" s="200" t="s">
        <v>1473</v>
      </c>
      <c r="G176" s="85">
        <v>1</v>
      </c>
      <c r="H176" s="86"/>
      <c r="I176" s="87"/>
      <c r="J176" s="88"/>
      <c r="K176" s="89"/>
      <c r="L176" s="90"/>
      <c r="M176" s="165"/>
      <c r="N176" s="134"/>
      <c r="O176" s="45"/>
      <c r="P176" s="130"/>
      <c r="Q176" s="45"/>
      <c r="R176" s="136"/>
      <c r="S176" s="139"/>
      <c r="T176" s="136"/>
      <c r="U176" s="139"/>
      <c r="V176" s="45"/>
      <c r="W176" s="136"/>
      <c r="X176" s="134"/>
      <c r="Y176" s="166"/>
      <c r="Z176" s="126"/>
      <c r="AA176" s="130"/>
      <c r="AB176" s="126"/>
      <c r="AC176" s="130"/>
      <c r="AD176" s="126" t="s">
        <v>12</v>
      </c>
      <c r="AE176" s="130"/>
      <c r="AF176" s="126"/>
      <c r="AG176" s="43"/>
      <c r="AH176" s="44"/>
      <c r="AI176" s="45"/>
      <c r="AJ176" s="46"/>
      <c r="AK176" s="41">
        <v>1</v>
      </c>
      <c r="AL176" s="47"/>
      <c r="AM176" s="48"/>
      <c r="AN176" s="111"/>
      <c r="AO176" s="42"/>
      <c r="AP176" s="42"/>
      <c r="AQ176" s="115"/>
      <c r="AR176" s="75"/>
      <c r="AS176" s="40">
        <f t="shared" si="22"/>
        <v>1</v>
      </c>
      <c r="AT176" s="40"/>
      <c r="AW176" s="42"/>
      <c r="AX176" s="42"/>
      <c r="AY176" s="42"/>
      <c r="AZ176" s="42"/>
      <c r="BA176" s="42"/>
      <c r="BB176" s="42"/>
      <c r="BC176" s="42"/>
      <c r="BD176" s="42"/>
      <c r="BE176" s="42"/>
      <c r="BH176" s="31" t="s">
        <v>2252</v>
      </c>
      <c r="BI176" s="31" t="s">
        <v>2248</v>
      </c>
    </row>
    <row r="177" spans="1:62" hidden="1" x14ac:dyDescent="0.35">
      <c r="A177" s="199" t="s">
        <v>2639</v>
      </c>
      <c r="B177" s="199" t="s">
        <v>2055</v>
      </c>
      <c r="C177" s="200" t="s">
        <v>1450</v>
      </c>
      <c r="D177" s="200" t="s">
        <v>131</v>
      </c>
      <c r="E177" s="200">
        <v>200</v>
      </c>
      <c r="F177" s="200" t="s">
        <v>1721</v>
      </c>
      <c r="G177" s="85"/>
      <c r="H177" s="86"/>
      <c r="I177" s="87"/>
      <c r="J177" s="88"/>
      <c r="K177" s="89"/>
      <c r="L177" s="90"/>
      <c r="M177" s="165"/>
      <c r="N177" s="134"/>
      <c r="O177" s="45"/>
      <c r="P177" s="130"/>
      <c r="Q177" s="45"/>
      <c r="R177" s="136"/>
      <c r="S177" s="139"/>
      <c r="T177" s="136"/>
      <c r="U177" s="139"/>
      <c r="V177" s="45"/>
      <c r="W177" s="136"/>
      <c r="X177" s="134"/>
      <c r="Y177" s="166"/>
      <c r="Z177" s="126"/>
      <c r="AA177" s="130"/>
      <c r="AB177" s="126"/>
      <c r="AC177" s="130"/>
      <c r="AD177" s="126"/>
      <c r="AE177" s="130"/>
      <c r="AF177" s="126"/>
      <c r="AG177" s="43"/>
      <c r="AH177" s="44"/>
      <c r="AI177" s="45"/>
      <c r="AJ177" s="46"/>
      <c r="AK177" s="41"/>
      <c r="AL177" s="47"/>
      <c r="AM177" s="48">
        <v>1</v>
      </c>
      <c r="AN177" s="111"/>
      <c r="AO177" s="42"/>
      <c r="AP177" s="42"/>
      <c r="AQ177" s="115"/>
      <c r="AR177" s="75"/>
      <c r="AS177" s="40">
        <f t="shared" si="22"/>
        <v>1</v>
      </c>
      <c r="AT177" s="40"/>
      <c r="AW177" s="42"/>
      <c r="AX177" s="42"/>
      <c r="AY177" s="42"/>
      <c r="AZ177" s="42"/>
      <c r="BA177" s="42"/>
      <c r="BB177" s="42"/>
      <c r="BC177" s="42"/>
      <c r="BD177" s="42"/>
      <c r="BE177" s="42"/>
      <c r="BH177" s="31" t="s">
        <v>2250</v>
      </c>
      <c r="BI177" s="31" t="s">
        <v>2249</v>
      </c>
    </row>
    <row r="178" spans="1:62" hidden="1" x14ac:dyDescent="0.35">
      <c r="A178" s="199" t="s">
        <v>2639</v>
      </c>
      <c r="B178" s="199" t="s">
        <v>2055</v>
      </c>
      <c r="C178" s="200" t="s">
        <v>1443</v>
      </c>
      <c r="D178" s="200" t="s">
        <v>131</v>
      </c>
      <c r="E178" s="200">
        <v>800</v>
      </c>
      <c r="F178" s="200" t="s">
        <v>1485</v>
      </c>
      <c r="G178" s="85">
        <v>1</v>
      </c>
      <c r="H178" s="86"/>
      <c r="I178" s="87"/>
      <c r="J178" s="88"/>
      <c r="K178" s="89"/>
      <c r="L178" s="90"/>
      <c r="M178" s="165"/>
      <c r="N178" s="134"/>
      <c r="O178" s="45"/>
      <c r="P178" s="130"/>
      <c r="Q178" s="45"/>
      <c r="R178" s="136"/>
      <c r="S178" s="139"/>
      <c r="T178" s="136"/>
      <c r="U178" s="139"/>
      <c r="V178" s="45"/>
      <c r="W178" s="136"/>
      <c r="X178" s="134"/>
      <c r="Y178" s="166"/>
      <c r="Z178" s="126"/>
      <c r="AA178" s="130"/>
      <c r="AB178" s="126"/>
      <c r="AC178" s="130"/>
      <c r="AD178" s="126" t="s">
        <v>12</v>
      </c>
      <c r="AE178" s="130"/>
      <c r="AF178" s="126"/>
      <c r="AG178" s="43"/>
      <c r="AH178" s="44"/>
      <c r="AI178" s="45"/>
      <c r="AJ178" s="46"/>
      <c r="AK178" s="41"/>
      <c r="AL178" s="47"/>
      <c r="AM178" s="48">
        <v>1</v>
      </c>
      <c r="AN178" s="111"/>
      <c r="AO178" s="42"/>
      <c r="AP178" s="42"/>
      <c r="AQ178" s="115"/>
      <c r="AR178" s="75"/>
      <c r="AS178" s="40">
        <f t="shared" si="22"/>
        <v>1</v>
      </c>
      <c r="AT178" s="40"/>
      <c r="AW178" s="42"/>
      <c r="AX178" s="42"/>
      <c r="AY178" s="42"/>
      <c r="AZ178" s="42"/>
      <c r="BA178" s="42"/>
      <c r="BB178" s="42"/>
      <c r="BC178" s="42"/>
      <c r="BD178" s="42"/>
      <c r="BE178" s="42"/>
      <c r="BH178" s="31" t="s">
        <v>2250</v>
      </c>
      <c r="BI178" s="31" t="s">
        <v>2249</v>
      </c>
    </row>
    <row r="179" spans="1:62" ht="26" hidden="1" x14ac:dyDescent="0.35">
      <c r="A179" s="199" t="s">
        <v>2639</v>
      </c>
      <c r="B179" s="199" t="s">
        <v>2055</v>
      </c>
      <c r="C179" s="200" t="s">
        <v>750</v>
      </c>
      <c r="D179" s="200" t="s">
        <v>136</v>
      </c>
      <c r="E179" s="200"/>
      <c r="F179" s="200" t="s">
        <v>1442</v>
      </c>
      <c r="G179" s="85">
        <v>1</v>
      </c>
      <c r="H179" s="86">
        <v>1</v>
      </c>
      <c r="I179" s="87">
        <v>1</v>
      </c>
      <c r="J179" s="88"/>
      <c r="K179" s="89"/>
      <c r="L179" s="90"/>
      <c r="M179" s="165"/>
      <c r="N179" s="134"/>
      <c r="O179" s="45"/>
      <c r="P179" s="130" t="s">
        <v>12</v>
      </c>
      <c r="Q179" s="45"/>
      <c r="R179" s="136"/>
      <c r="S179" s="139"/>
      <c r="T179" s="136"/>
      <c r="U179" s="139"/>
      <c r="V179" s="45"/>
      <c r="W179" s="136"/>
      <c r="X179" s="134"/>
      <c r="Y179" s="166"/>
      <c r="Z179" s="126"/>
      <c r="AA179" s="130"/>
      <c r="AB179" s="126"/>
      <c r="AC179" s="130"/>
      <c r="AD179" s="126"/>
      <c r="AE179" s="130"/>
      <c r="AF179" s="126"/>
      <c r="AG179" s="43"/>
      <c r="AH179" s="44"/>
      <c r="AI179" s="45"/>
      <c r="AJ179" s="46"/>
      <c r="AK179" s="41"/>
      <c r="AL179" s="47"/>
      <c r="AM179" s="48"/>
      <c r="AN179" s="111"/>
      <c r="AO179" s="42"/>
      <c r="AP179" s="42"/>
      <c r="AQ179" s="115"/>
      <c r="AR179" s="75">
        <v>1</v>
      </c>
      <c r="AS179" s="40">
        <f t="shared" si="22"/>
        <v>1</v>
      </c>
      <c r="AT179" s="40"/>
      <c r="AW179" s="42"/>
      <c r="AX179" s="42"/>
      <c r="AY179" s="42"/>
      <c r="AZ179" s="42"/>
      <c r="BA179" s="42"/>
      <c r="BB179" s="42"/>
      <c r="BC179" s="42"/>
      <c r="BD179" s="42"/>
      <c r="BE179" s="42"/>
    </row>
    <row r="180" spans="1:62" ht="26" hidden="1" x14ac:dyDescent="0.35">
      <c r="A180" s="199" t="s">
        <v>2639</v>
      </c>
      <c r="B180" s="199" t="s">
        <v>2055</v>
      </c>
      <c r="C180" s="200" t="s">
        <v>1438</v>
      </c>
      <c r="D180" s="200" t="s">
        <v>5</v>
      </c>
      <c r="E180" s="200">
        <v>200</v>
      </c>
      <c r="F180" s="200" t="s">
        <v>1439</v>
      </c>
      <c r="G180" s="85"/>
      <c r="H180" s="86"/>
      <c r="I180" s="87"/>
      <c r="J180" s="88"/>
      <c r="K180" s="89"/>
      <c r="L180" s="90"/>
      <c r="M180" s="165"/>
      <c r="N180" s="134"/>
      <c r="O180" s="45"/>
      <c r="P180" s="130"/>
      <c r="Q180" s="45"/>
      <c r="R180" s="136"/>
      <c r="S180" s="139"/>
      <c r="T180" s="136"/>
      <c r="U180" s="139"/>
      <c r="V180" s="45"/>
      <c r="W180" s="136"/>
      <c r="X180" s="134"/>
      <c r="Y180" s="166"/>
      <c r="Z180" s="126"/>
      <c r="AA180" s="130"/>
      <c r="AB180" s="126"/>
      <c r="AC180" s="130"/>
      <c r="AD180" s="126"/>
      <c r="AE180" s="130"/>
      <c r="AF180" s="126"/>
      <c r="AG180" s="43"/>
      <c r="AH180" s="44"/>
      <c r="AI180" s="45"/>
      <c r="AJ180" s="46"/>
      <c r="AK180" s="41"/>
      <c r="AL180" s="47"/>
      <c r="AM180" s="48">
        <v>1</v>
      </c>
      <c r="AN180" s="111"/>
      <c r="AO180" s="42"/>
      <c r="AP180" s="42"/>
      <c r="AQ180" s="115"/>
      <c r="AR180" s="75"/>
      <c r="AS180" s="40">
        <f t="shared" si="22"/>
        <v>1</v>
      </c>
      <c r="AT180" s="40"/>
      <c r="AW180" s="42"/>
      <c r="AX180" s="42"/>
      <c r="AY180" s="42"/>
      <c r="AZ180" s="42"/>
      <c r="BA180" s="42"/>
      <c r="BB180" s="42"/>
      <c r="BC180" s="42"/>
      <c r="BD180" s="42"/>
      <c r="BE180" s="42"/>
      <c r="BH180" s="31" t="s">
        <v>2250</v>
      </c>
      <c r="BI180" s="31" t="s">
        <v>2248</v>
      </c>
    </row>
    <row r="181" spans="1:62" ht="39" hidden="1" x14ac:dyDescent="0.35">
      <c r="A181" s="199" t="s">
        <v>2639</v>
      </c>
      <c r="B181" s="199" t="s">
        <v>2055</v>
      </c>
      <c r="C181" s="200" t="s">
        <v>1452</v>
      </c>
      <c r="D181" s="200" t="s">
        <v>5</v>
      </c>
      <c r="E181" s="200">
        <v>800</v>
      </c>
      <c r="F181" s="201" t="s">
        <v>1453</v>
      </c>
      <c r="G181" s="85"/>
      <c r="H181" s="86"/>
      <c r="I181" s="87"/>
      <c r="J181" s="88"/>
      <c r="K181" s="89"/>
      <c r="L181" s="90"/>
      <c r="M181" s="165"/>
      <c r="N181" s="134"/>
      <c r="O181" s="45"/>
      <c r="P181" s="130"/>
      <c r="Q181" s="45"/>
      <c r="R181" s="136"/>
      <c r="S181" s="139"/>
      <c r="T181" s="136"/>
      <c r="U181" s="139"/>
      <c r="V181" s="45"/>
      <c r="W181" s="136"/>
      <c r="X181" s="134"/>
      <c r="Y181" s="166"/>
      <c r="Z181" s="126"/>
      <c r="AA181" s="130"/>
      <c r="AB181" s="126"/>
      <c r="AC181" s="130"/>
      <c r="AD181" s="126"/>
      <c r="AE181" s="130"/>
      <c r="AF181" s="126"/>
      <c r="AG181" s="43">
        <v>1</v>
      </c>
      <c r="AH181" s="44"/>
      <c r="AI181" s="45"/>
      <c r="AJ181" s="46">
        <v>1</v>
      </c>
      <c r="AK181" s="41"/>
      <c r="AL181" s="47"/>
      <c r="AM181" s="48">
        <v>1</v>
      </c>
      <c r="AN181" s="111"/>
      <c r="AO181" s="42"/>
      <c r="AP181" s="42"/>
      <c r="AQ181" s="115"/>
      <c r="AR181" s="75"/>
      <c r="AS181" s="40">
        <f t="shared" si="22"/>
        <v>3</v>
      </c>
      <c r="AT181" s="40"/>
      <c r="AW181" s="42"/>
      <c r="AX181" s="42"/>
      <c r="AY181" s="42"/>
      <c r="AZ181" s="42"/>
      <c r="BA181" s="42"/>
      <c r="BB181" s="42"/>
      <c r="BC181" s="42"/>
      <c r="BD181" s="42"/>
      <c r="BE181" s="42"/>
      <c r="BH181" s="31" t="s">
        <v>2271</v>
      </c>
      <c r="BI181" s="31" t="s">
        <v>2248</v>
      </c>
      <c r="BJ181" s="31" t="s">
        <v>12</v>
      </c>
    </row>
    <row r="182" spans="1:62" ht="26" hidden="1" x14ac:dyDescent="0.35">
      <c r="A182" s="199" t="s">
        <v>2639</v>
      </c>
      <c r="B182" s="199" t="s">
        <v>2055</v>
      </c>
      <c r="C182" s="200" t="s">
        <v>1458</v>
      </c>
      <c r="D182" s="200" t="s">
        <v>5</v>
      </c>
      <c r="E182" s="200">
        <v>600</v>
      </c>
      <c r="F182" s="200" t="s">
        <v>1459</v>
      </c>
      <c r="G182" s="189"/>
      <c r="H182" s="190"/>
      <c r="I182" s="191"/>
      <c r="J182" s="192"/>
      <c r="K182" s="193"/>
      <c r="L182" s="41"/>
      <c r="M182" s="165"/>
      <c r="N182" s="134"/>
      <c r="O182" s="45"/>
      <c r="P182" s="130"/>
      <c r="Q182" s="45"/>
      <c r="R182" s="136"/>
      <c r="S182" s="139"/>
      <c r="T182" s="136"/>
      <c r="U182" s="139"/>
      <c r="V182" s="45"/>
      <c r="W182" s="136"/>
      <c r="X182" s="134"/>
      <c r="Y182" s="166"/>
      <c r="Z182" s="126"/>
      <c r="AA182" s="130"/>
      <c r="AB182" s="126"/>
      <c r="AC182" s="130"/>
      <c r="AD182" s="126"/>
      <c r="AE182" s="130"/>
      <c r="AF182" s="126"/>
      <c r="AG182" s="43"/>
      <c r="AH182" s="44">
        <v>1</v>
      </c>
      <c r="AI182" s="45"/>
      <c r="AJ182" s="46"/>
      <c r="AK182" s="41"/>
      <c r="AL182" s="47"/>
      <c r="AM182" s="48">
        <v>1</v>
      </c>
      <c r="AN182" s="111"/>
      <c r="AO182" s="42"/>
      <c r="AP182" s="42"/>
      <c r="AQ182" s="115"/>
      <c r="AR182" s="75"/>
      <c r="AS182" s="40">
        <f t="shared" si="22"/>
        <v>2</v>
      </c>
      <c r="AT182" s="40"/>
      <c r="AW182" s="42"/>
      <c r="AX182" s="42"/>
      <c r="AY182" s="42"/>
      <c r="AZ182" s="42"/>
      <c r="BA182" s="42"/>
      <c r="BB182" s="42"/>
      <c r="BC182" s="42"/>
      <c r="BD182" s="42"/>
      <c r="BE182" s="42"/>
      <c r="BH182" s="31" t="s">
        <v>2264</v>
      </c>
      <c r="BI182" s="31" t="s">
        <v>2248</v>
      </c>
    </row>
    <row r="183" spans="1:62" ht="39" hidden="1" x14ac:dyDescent="0.35">
      <c r="A183" s="199" t="s">
        <v>2639</v>
      </c>
      <c r="B183" s="199" t="s">
        <v>2052</v>
      </c>
      <c r="C183" s="200" t="s">
        <v>2363</v>
      </c>
      <c r="D183" s="200" t="s">
        <v>736</v>
      </c>
      <c r="E183" s="200"/>
      <c r="F183" s="200" t="s">
        <v>89</v>
      </c>
      <c r="G183" s="85"/>
      <c r="H183" s="86"/>
      <c r="I183" s="87"/>
      <c r="J183" s="88"/>
      <c r="K183" s="89"/>
      <c r="L183" s="90"/>
      <c r="M183" s="165"/>
      <c r="N183" s="134"/>
      <c r="O183" s="45"/>
      <c r="P183" s="130"/>
      <c r="Q183" s="45"/>
      <c r="R183" s="136"/>
      <c r="S183" s="139"/>
      <c r="T183" s="136"/>
      <c r="U183" s="139"/>
      <c r="V183" s="45"/>
      <c r="W183" s="136"/>
      <c r="X183" s="134"/>
      <c r="Y183" s="166"/>
      <c r="Z183" s="126"/>
      <c r="AA183" s="130"/>
      <c r="AB183" s="126"/>
      <c r="AC183" s="130"/>
      <c r="AD183" s="126"/>
      <c r="AE183" s="130"/>
      <c r="AF183" s="126"/>
      <c r="AG183" s="43"/>
      <c r="AH183" s="44"/>
      <c r="AI183" s="45"/>
      <c r="AJ183" s="46"/>
      <c r="AK183" s="41"/>
      <c r="AL183" s="47"/>
      <c r="AM183" s="48"/>
      <c r="AN183" s="111"/>
      <c r="AO183" s="42"/>
      <c r="AP183" s="42"/>
      <c r="AQ183" s="115"/>
      <c r="AR183" s="75">
        <v>1</v>
      </c>
      <c r="AS183" s="40">
        <f t="shared" si="22"/>
        <v>1</v>
      </c>
      <c r="AT183" s="40"/>
      <c r="AW183" s="42"/>
      <c r="AX183" s="42"/>
      <c r="AY183" s="42"/>
      <c r="AZ183" s="42"/>
      <c r="BA183" s="42"/>
      <c r="BB183" s="42"/>
      <c r="BC183" s="42"/>
      <c r="BD183" s="42"/>
      <c r="BE183" s="42"/>
    </row>
    <row r="184" spans="1:62" ht="26" hidden="1" x14ac:dyDescent="0.35">
      <c r="A184" s="199" t="s">
        <v>2639</v>
      </c>
      <c r="B184" s="199" t="s">
        <v>2054</v>
      </c>
      <c r="C184" s="200" t="s">
        <v>2372</v>
      </c>
      <c r="D184" s="200" t="s">
        <v>736</v>
      </c>
      <c r="E184" s="200"/>
      <c r="F184" s="200" t="s">
        <v>1422</v>
      </c>
      <c r="G184" s="85"/>
      <c r="H184" s="86"/>
      <c r="I184" s="87"/>
      <c r="J184" s="88"/>
      <c r="K184" s="89"/>
      <c r="L184" s="90"/>
      <c r="M184" s="165"/>
      <c r="N184" s="134"/>
      <c r="O184" s="45"/>
      <c r="P184" s="130"/>
      <c r="Q184" s="45"/>
      <c r="R184" s="136"/>
      <c r="S184" s="139"/>
      <c r="T184" s="136"/>
      <c r="U184" s="139"/>
      <c r="V184" s="45"/>
      <c r="W184" s="136"/>
      <c r="X184" s="134"/>
      <c r="Y184" s="166"/>
      <c r="Z184" s="126"/>
      <c r="AA184" s="130"/>
      <c r="AB184" s="126"/>
      <c r="AC184" s="130"/>
      <c r="AD184" s="126"/>
      <c r="AE184" s="130"/>
      <c r="AF184" s="126"/>
      <c r="AG184" s="43"/>
      <c r="AH184" s="44"/>
      <c r="AI184" s="45"/>
      <c r="AJ184" s="46"/>
      <c r="AK184" s="41"/>
      <c r="AL184" s="47"/>
      <c r="AM184" s="48"/>
      <c r="AN184" s="111"/>
      <c r="AO184" s="42"/>
      <c r="AP184" s="42"/>
      <c r="AQ184" s="115"/>
      <c r="AR184" s="75">
        <v>1</v>
      </c>
      <c r="AS184" s="40">
        <f t="shared" si="22"/>
        <v>1</v>
      </c>
      <c r="AT184" s="40"/>
      <c r="AW184" s="42"/>
      <c r="AX184" s="42"/>
      <c r="AY184" s="42"/>
      <c r="AZ184" s="42"/>
      <c r="BA184" s="42"/>
      <c r="BB184" s="42"/>
      <c r="BC184" s="42"/>
      <c r="BD184" s="42"/>
      <c r="BE184" s="42"/>
    </row>
    <row r="185" spans="1:62" ht="26" hidden="1" x14ac:dyDescent="0.35">
      <c r="A185" s="199" t="s">
        <v>2639</v>
      </c>
      <c r="B185" s="199" t="s">
        <v>2054</v>
      </c>
      <c r="C185" s="200" t="s">
        <v>1423</v>
      </c>
      <c r="D185" s="200" t="s">
        <v>5</v>
      </c>
      <c r="E185" s="200">
        <v>400</v>
      </c>
      <c r="F185" s="200" t="s">
        <v>1866</v>
      </c>
      <c r="G185" s="85"/>
      <c r="H185" s="86"/>
      <c r="I185" s="87"/>
      <c r="J185" s="88"/>
      <c r="K185" s="89"/>
      <c r="L185" s="90"/>
      <c r="M185" s="165"/>
      <c r="N185" s="134"/>
      <c r="O185" s="45"/>
      <c r="P185" s="130"/>
      <c r="Q185" s="45"/>
      <c r="R185" s="136"/>
      <c r="S185" s="139"/>
      <c r="T185" s="136"/>
      <c r="U185" s="139"/>
      <c r="V185" s="45"/>
      <c r="W185" s="136"/>
      <c r="X185" s="134"/>
      <c r="Y185" s="166"/>
      <c r="Z185" s="126"/>
      <c r="AA185" s="130"/>
      <c r="AB185" s="126"/>
      <c r="AC185" s="130"/>
      <c r="AD185" s="126"/>
      <c r="AE185" s="130"/>
      <c r="AF185" s="126"/>
      <c r="AG185" s="43"/>
      <c r="AH185" s="44">
        <v>2</v>
      </c>
      <c r="AI185" s="45"/>
      <c r="AJ185" s="46"/>
      <c r="AK185" s="41"/>
      <c r="AL185" s="47"/>
      <c r="AM185" s="48"/>
      <c r="AN185" s="111"/>
      <c r="AO185" s="42"/>
      <c r="AP185" s="42"/>
      <c r="AQ185" s="115"/>
      <c r="AR185" s="75">
        <v>1</v>
      </c>
      <c r="AS185" s="40">
        <f t="shared" si="22"/>
        <v>3</v>
      </c>
      <c r="AT185" s="40"/>
      <c r="AW185" s="42"/>
      <c r="AX185" s="42"/>
      <c r="AY185" s="42"/>
      <c r="AZ185" s="42"/>
      <c r="BA185" s="42"/>
      <c r="BB185" s="42"/>
      <c r="BC185" s="49"/>
      <c r="BD185" s="49"/>
      <c r="BE185" s="49"/>
      <c r="BH185" s="31" t="s">
        <v>2262</v>
      </c>
      <c r="BI185" s="31" t="s">
        <v>2248</v>
      </c>
      <c r="BJ185" s="31" t="s">
        <v>12</v>
      </c>
    </row>
    <row r="186" spans="1:62" ht="26" hidden="1" x14ac:dyDescent="0.35">
      <c r="A186" s="199" t="s">
        <v>2639</v>
      </c>
      <c r="B186" s="199" t="s">
        <v>2054</v>
      </c>
      <c r="C186" s="200" t="s">
        <v>1424</v>
      </c>
      <c r="D186" s="200" t="s">
        <v>5</v>
      </c>
      <c r="E186" s="200">
        <v>400</v>
      </c>
      <c r="F186" s="200" t="s">
        <v>1425</v>
      </c>
      <c r="G186" s="85"/>
      <c r="H186" s="86"/>
      <c r="I186" s="87"/>
      <c r="J186" s="88"/>
      <c r="K186" s="89"/>
      <c r="L186" s="90"/>
      <c r="M186" s="165"/>
      <c r="N186" s="134"/>
      <c r="O186" s="45"/>
      <c r="P186" s="130"/>
      <c r="Q186" s="45"/>
      <c r="R186" s="136"/>
      <c r="S186" s="139"/>
      <c r="T186" s="136"/>
      <c r="U186" s="139"/>
      <c r="V186" s="45"/>
      <c r="W186" s="136"/>
      <c r="X186" s="134"/>
      <c r="Y186" s="166"/>
      <c r="Z186" s="126"/>
      <c r="AA186" s="130"/>
      <c r="AB186" s="126"/>
      <c r="AC186" s="130"/>
      <c r="AD186" s="126"/>
      <c r="AE186" s="130"/>
      <c r="AF186" s="126"/>
      <c r="AG186" s="43"/>
      <c r="AH186" s="44">
        <v>1</v>
      </c>
      <c r="AI186" s="45"/>
      <c r="AJ186" s="46"/>
      <c r="AK186" s="41"/>
      <c r="AL186" s="47"/>
      <c r="AM186" s="48"/>
      <c r="AN186" s="111"/>
      <c r="AO186" s="42"/>
      <c r="AP186" s="42"/>
      <c r="AQ186" s="115"/>
      <c r="AR186" s="75">
        <v>1</v>
      </c>
      <c r="AS186" s="40">
        <f t="shared" si="22"/>
        <v>2</v>
      </c>
      <c r="AT186" s="40"/>
      <c r="AW186" s="42"/>
      <c r="AX186" s="42"/>
      <c r="AY186" s="42"/>
      <c r="AZ186" s="42"/>
      <c r="BA186" s="42"/>
      <c r="BB186" s="42"/>
      <c r="BC186" s="49"/>
      <c r="BD186" s="49"/>
      <c r="BE186" s="49"/>
      <c r="BH186" s="31" t="s">
        <v>2262</v>
      </c>
      <c r="BI186" s="31" t="s">
        <v>2248</v>
      </c>
      <c r="BJ186" s="31" t="s">
        <v>12</v>
      </c>
    </row>
    <row r="187" spans="1:62" ht="26" hidden="1" x14ac:dyDescent="0.35">
      <c r="A187" s="199" t="s">
        <v>2639</v>
      </c>
      <c r="B187" s="199" t="s">
        <v>2053</v>
      </c>
      <c r="C187" s="200" t="s">
        <v>2373</v>
      </c>
      <c r="D187" s="200" t="s">
        <v>736</v>
      </c>
      <c r="E187" s="200"/>
      <c r="F187" s="200" t="s">
        <v>1422</v>
      </c>
      <c r="G187" s="85"/>
      <c r="H187" s="86"/>
      <c r="I187" s="87"/>
      <c r="J187" s="88"/>
      <c r="K187" s="89"/>
      <c r="L187" s="90"/>
      <c r="M187" s="165"/>
      <c r="N187" s="134"/>
      <c r="O187" s="45"/>
      <c r="P187" s="130"/>
      <c r="Q187" s="45"/>
      <c r="R187" s="136"/>
      <c r="S187" s="139"/>
      <c r="T187" s="136"/>
      <c r="U187" s="139"/>
      <c r="V187" s="45"/>
      <c r="W187" s="136"/>
      <c r="X187" s="134"/>
      <c r="Y187" s="166"/>
      <c r="Z187" s="126"/>
      <c r="AA187" s="130"/>
      <c r="AB187" s="126"/>
      <c r="AC187" s="130"/>
      <c r="AD187" s="126"/>
      <c r="AE187" s="130"/>
      <c r="AF187" s="126"/>
      <c r="AG187" s="43"/>
      <c r="AH187" s="44"/>
      <c r="AI187" s="45"/>
      <c r="AJ187" s="46"/>
      <c r="AK187" s="41"/>
      <c r="AL187" s="47"/>
      <c r="AM187" s="48"/>
      <c r="AN187" s="111"/>
      <c r="AO187" s="42"/>
      <c r="AP187" s="42"/>
      <c r="AQ187" s="115"/>
      <c r="AR187" s="75">
        <v>1</v>
      </c>
      <c r="AS187" s="40">
        <f t="shared" si="22"/>
        <v>1</v>
      </c>
      <c r="AT187" s="40"/>
      <c r="AW187" s="42"/>
      <c r="AX187" s="42"/>
      <c r="AY187" s="42"/>
      <c r="AZ187" s="42"/>
      <c r="BA187" s="42"/>
      <c r="BB187" s="42"/>
      <c r="BC187" s="49"/>
      <c r="BD187" s="49"/>
      <c r="BE187" s="49"/>
    </row>
    <row r="188" spans="1:62" ht="26" hidden="1" x14ac:dyDescent="0.35">
      <c r="A188" s="199" t="s">
        <v>2639</v>
      </c>
      <c r="B188" s="199" t="s">
        <v>2053</v>
      </c>
      <c r="C188" s="200" t="s">
        <v>121</v>
      </c>
      <c r="D188" s="200" t="s">
        <v>136</v>
      </c>
      <c r="E188" s="200"/>
      <c r="F188" s="200" t="s">
        <v>1421</v>
      </c>
      <c r="G188" s="85">
        <v>3</v>
      </c>
      <c r="H188" s="86"/>
      <c r="I188" s="87"/>
      <c r="J188" s="88" t="s">
        <v>12</v>
      </c>
      <c r="K188" s="89"/>
      <c r="L188" s="90"/>
      <c r="M188" s="165"/>
      <c r="N188" s="134"/>
      <c r="O188" s="45"/>
      <c r="P188" s="130"/>
      <c r="Q188" s="45"/>
      <c r="R188" s="136"/>
      <c r="S188" s="139"/>
      <c r="T188" s="136"/>
      <c r="U188" s="139"/>
      <c r="V188" s="45" t="s">
        <v>12</v>
      </c>
      <c r="W188" s="136"/>
      <c r="X188" s="134"/>
      <c r="Y188" s="166"/>
      <c r="Z188" s="126"/>
      <c r="AA188" s="130"/>
      <c r="AB188" s="126"/>
      <c r="AC188" s="130"/>
      <c r="AD188" s="126"/>
      <c r="AE188" s="130"/>
      <c r="AF188" s="126"/>
      <c r="AG188" s="43"/>
      <c r="AH188" s="44"/>
      <c r="AI188" s="45"/>
      <c r="AJ188" s="46"/>
      <c r="AK188" s="41"/>
      <c r="AL188" s="47"/>
      <c r="AM188" s="48"/>
      <c r="AN188" s="111"/>
      <c r="AO188" s="42"/>
      <c r="AP188" s="42"/>
      <c r="AQ188" s="115"/>
      <c r="AR188" s="75">
        <v>1</v>
      </c>
      <c r="AS188" s="40">
        <f t="shared" si="22"/>
        <v>1</v>
      </c>
      <c r="AT188" s="40"/>
      <c r="AW188" s="40"/>
      <c r="AX188" s="40"/>
      <c r="AY188" s="40"/>
      <c r="AZ188" s="42"/>
      <c r="BA188" s="42"/>
      <c r="BB188" s="42"/>
      <c r="BC188" s="49"/>
      <c r="BD188" s="49"/>
      <c r="BE188" s="49"/>
    </row>
    <row r="189" spans="1:62" ht="39" hidden="1" x14ac:dyDescent="0.35">
      <c r="A189" s="199" t="s">
        <v>2639</v>
      </c>
      <c r="B189" s="199" t="s">
        <v>2053</v>
      </c>
      <c r="C189" s="200" t="s">
        <v>1420</v>
      </c>
      <c r="D189" s="200" t="s">
        <v>5</v>
      </c>
      <c r="E189" s="200">
        <v>400</v>
      </c>
      <c r="F189" s="200" t="s">
        <v>1892</v>
      </c>
      <c r="G189" s="85"/>
      <c r="H189" s="86"/>
      <c r="I189" s="87"/>
      <c r="J189" s="88"/>
      <c r="K189" s="89"/>
      <c r="L189" s="90"/>
      <c r="M189" s="165"/>
      <c r="N189" s="134"/>
      <c r="O189" s="45"/>
      <c r="P189" s="130"/>
      <c r="Q189" s="45"/>
      <c r="R189" s="136"/>
      <c r="S189" s="139"/>
      <c r="T189" s="136"/>
      <c r="U189" s="139"/>
      <c r="V189" s="45"/>
      <c r="W189" s="136"/>
      <c r="X189" s="134"/>
      <c r="Y189" s="166"/>
      <c r="Z189" s="126"/>
      <c r="AA189" s="130"/>
      <c r="AB189" s="126"/>
      <c r="AC189" s="130"/>
      <c r="AD189" s="126"/>
      <c r="AE189" s="130"/>
      <c r="AF189" s="126"/>
      <c r="AG189" s="43">
        <v>1</v>
      </c>
      <c r="AH189" s="44"/>
      <c r="AI189" s="45"/>
      <c r="AJ189" s="46"/>
      <c r="AK189" s="41"/>
      <c r="AL189" s="47"/>
      <c r="AM189" s="48"/>
      <c r="AN189" s="111"/>
      <c r="AO189" s="42"/>
      <c r="AP189" s="42"/>
      <c r="AQ189" s="115"/>
      <c r="AR189" s="75">
        <v>1</v>
      </c>
      <c r="AS189" s="40">
        <f t="shared" si="22"/>
        <v>2</v>
      </c>
      <c r="AT189" s="40"/>
      <c r="AW189" s="42"/>
      <c r="AX189" s="42"/>
      <c r="AY189" s="42"/>
      <c r="AZ189" s="42"/>
      <c r="BA189" s="42"/>
      <c r="BB189" s="42"/>
      <c r="BC189" s="49"/>
      <c r="BD189" s="49"/>
      <c r="BE189" s="49"/>
      <c r="BH189" s="31" t="s">
        <v>2273</v>
      </c>
      <c r="BI189" s="31" t="s">
        <v>2248</v>
      </c>
      <c r="BJ189" s="31" t="s">
        <v>12</v>
      </c>
    </row>
    <row r="190" spans="1:62" ht="26" hidden="1" x14ac:dyDescent="0.35">
      <c r="A190" s="199" t="s">
        <v>2639</v>
      </c>
      <c r="B190" s="199" t="s">
        <v>2053</v>
      </c>
      <c r="C190" s="200" t="s">
        <v>1418</v>
      </c>
      <c r="D190" s="200" t="s">
        <v>5</v>
      </c>
      <c r="E190" s="200">
        <v>600</v>
      </c>
      <c r="F190" s="200" t="s">
        <v>1419</v>
      </c>
      <c r="G190" s="189"/>
      <c r="H190" s="190"/>
      <c r="I190" s="191"/>
      <c r="J190" s="192"/>
      <c r="K190" s="193"/>
      <c r="L190" s="41"/>
      <c r="M190" s="165"/>
      <c r="N190" s="134"/>
      <c r="O190" s="45"/>
      <c r="P190" s="130"/>
      <c r="Q190" s="45"/>
      <c r="R190" s="136"/>
      <c r="S190" s="139"/>
      <c r="T190" s="136"/>
      <c r="U190" s="139"/>
      <c r="V190" s="45"/>
      <c r="W190" s="136"/>
      <c r="X190" s="134"/>
      <c r="Y190" s="166"/>
      <c r="Z190" s="126"/>
      <c r="AA190" s="130"/>
      <c r="AB190" s="126"/>
      <c r="AC190" s="130"/>
      <c r="AD190" s="126"/>
      <c r="AE190" s="130"/>
      <c r="AF190" s="126"/>
      <c r="AG190" s="43">
        <v>1</v>
      </c>
      <c r="AH190" s="44"/>
      <c r="AI190" s="45"/>
      <c r="AJ190" s="46"/>
      <c r="AK190" s="41"/>
      <c r="AL190" s="47"/>
      <c r="AM190" s="48"/>
      <c r="AN190" s="111"/>
      <c r="AO190" s="42"/>
      <c r="AP190" s="42"/>
      <c r="AQ190" s="115"/>
      <c r="AR190" s="75">
        <v>1</v>
      </c>
      <c r="AS190" s="40">
        <f t="shared" si="22"/>
        <v>2</v>
      </c>
      <c r="AT190" s="40"/>
      <c r="AW190" s="42"/>
      <c r="AX190" s="42"/>
      <c r="AY190" s="42"/>
      <c r="AZ190" s="42"/>
      <c r="BA190" s="42"/>
      <c r="BB190" s="42"/>
      <c r="BC190" s="49"/>
      <c r="BD190" s="49"/>
      <c r="BE190" s="49"/>
      <c r="BH190" s="31" t="s">
        <v>2273</v>
      </c>
      <c r="BI190" s="31" t="s">
        <v>2248</v>
      </c>
      <c r="BJ190" s="31" t="s">
        <v>12</v>
      </c>
    </row>
    <row r="191" spans="1:62" ht="26" hidden="1" x14ac:dyDescent="0.35">
      <c r="A191" s="197" t="s">
        <v>2640</v>
      </c>
      <c r="B191" s="197" t="s">
        <v>1794</v>
      </c>
      <c r="C191" s="198" t="s">
        <v>802</v>
      </c>
      <c r="D191" s="198" t="s">
        <v>131</v>
      </c>
      <c r="E191" s="198">
        <v>100</v>
      </c>
      <c r="F191" s="198" t="s">
        <v>1840</v>
      </c>
      <c r="G191" s="85"/>
      <c r="H191" s="86"/>
      <c r="I191" s="87"/>
      <c r="J191" s="88"/>
      <c r="K191" s="89"/>
      <c r="L191" s="90"/>
      <c r="M191" s="165"/>
      <c r="N191" s="134"/>
      <c r="O191" s="45"/>
      <c r="P191" s="130"/>
      <c r="Q191" s="45"/>
      <c r="R191" s="136"/>
      <c r="S191" s="139"/>
      <c r="T191" s="136"/>
      <c r="U191" s="139"/>
      <c r="V191" s="45"/>
      <c r="W191" s="136"/>
      <c r="X191" s="134"/>
      <c r="Y191" s="166"/>
      <c r="Z191" s="126"/>
      <c r="AA191" s="130"/>
      <c r="AB191" s="126"/>
      <c r="AC191" s="130"/>
      <c r="AD191" s="126"/>
      <c r="AE191" s="130"/>
      <c r="AF191" s="126"/>
      <c r="AG191" s="43"/>
      <c r="AH191" s="44">
        <v>1</v>
      </c>
      <c r="AI191" s="45"/>
      <c r="AJ191" s="46"/>
      <c r="AK191" s="41"/>
      <c r="AL191" s="47"/>
      <c r="AM191" s="48"/>
      <c r="AN191" s="111"/>
      <c r="AO191" s="42"/>
      <c r="AP191" s="42"/>
      <c r="AQ191" s="115"/>
      <c r="AR191" s="75"/>
      <c r="AS191" s="40">
        <f t="shared" si="22"/>
        <v>1</v>
      </c>
      <c r="AT191" s="40"/>
      <c r="AW191" s="42"/>
      <c r="AX191" s="42"/>
      <c r="AY191" s="42"/>
      <c r="AZ191" s="42"/>
      <c r="BA191" s="42"/>
      <c r="BB191" s="42"/>
      <c r="BC191" s="49"/>
      <c r="BD191" s="49"/>
      <c r="BE191" s="49"/>
      <c r="BH191" s="31" t="s">
        <v>2253</v>
      </c>
      <c r="BI191" s="31" t="s">
        <v>2248</v>
      </c>
    </row>
    <row r="192" spans="1:62" ht="39" hidden="1" x14ac:dyDescent="0.35">
      <c r="A192" s="197" t="s">
        <v>2640</v>
      </c>
      <c r="B192" s="197" t="s">
        <v>1794</v>
      </c>
      <c r="C192" s="198" t="s">
        <v>1795</v>
      </c>
      <c r="D192" s="198" t="s">
        <v>131</v>
      </c>
      <c r="E192" s="198">
        <v>300</v>
      </c>
      <c r="F192" s="198" t="s">
        <v>1796</v>
      </c>
      <c r="G192" s="85"/>
      <c r="H192" s="86"/>
      <c r="I192" s="87"/>
      <c r="J192" s="88"/>
      <c r="K192" s="89"/>
      <c r="L192" s="90"/>
      <c r="M192" s="165"/>
      <c r="N192" s="134"/>
      <c r="O192" s="45"/>
      <c r="P192" s="130"/>
      <c r="Q192" s="45"/>
      <c r="R192" s="136"/>
      <c r="S192" s="139"/>
      <c r="T192" s="136"/>
      <c r="U192" s="139"/>
      <c r="V192" s="45"/>
      <c r="W192" s="136"/>
      <c r="X192" s="134"/>
      <c r="Y192" s="166"/>
      <c r="Z192" s="126"/>
      <c r="AA192" s="130"/>
      <c r="AB192" s="126"/>
      <c r="AC192" s="130"/>
      <c r="AD192" s="126"/>
      <c r="AE192" s="130"/>
      <c r="AF192" s="126"/>
      <c r="AG192" s="43"/>
      <c r="AH192" s="44">
        <v>1</v>
      </c>
      <c r="AI192" s="45"/>
      <c r="AJ192" s="46"/>
      <c r="AK192" s="41"/>
      <c r="AL192" s="47"/>
      <c r="AM192" s="48"/>
      <c r="AN192" s="111"/>
      <c r="AO192" s="42"/>
      <c r="AP192" s="42"/>
      <c r="AQ192" s="115"/>
      <c r="AR192" s="75"/>
      <c r="AS192" s="40">
        <f t="shared" si="22"/>
        <v>1</v>
      </c>
      <c r="AT192" s="40"/>
      <c r="AW192" s="40"/>
      <c r="AX192" s="40"/>
      <c r="AY192" s="40"/>
      <c r="AZ192" s="42"/>
      <c r="BA192" s="42"/>
      <c r="BB192" s="42"/>
      <c r="BC192" s="49"/>
      <c r="BD192" s="49"/>
      <c r="BE192" s="49"/>
      <c r="BH192" s="31" t="s">
        <v>2253</v>
      </c>
      <c r="BI192" s="31" t="s">
        <v>2248</v>
      </c>
    </row>
    <row r="193" spans="1:62" ht="26" hidden="1" x14ac:dyDescent="0.35">
      <c r="A193" s="197" t="s">
        <v>2640</v>
      </c>
      <c r="B193" s="197" t="s">
        <v>1826</v>
      </c>
      <c r="C193" s="198" t="s">
        <v>118</v>
      </c>
      <c r="D193" s="198" t="s">
        <v>8</v>
      </c>
      <c r="E193" s="198">
        <v>300</v>
      </c>
      <c r="F193" s="198" t="s">
        <v>1396</v>
      </c>
      <c r="G193" s="85">
        <v>2</v>
      </c>
      <c r="H193" s="86"/>
      <c r="I193" s="87"/>
      <c r="J193" s="88"/>
      <c r="K193" s="89"/>
      <c r="L193" s="90" t="s">
        <v>12</v>
      </c>
      <c r="M193" s="165"/>
      <c r="N193" s="134"/>
      <c r="O193" s="45" t="s">
        <v>12</v>
      </c>
      <c r="P193" s="130"/>
      <c r="Q193" s="45"/>
      <c r="R193" s="136"/>
      <c r="S193" s="139"/>
      <c r="T193" s="136"/>
      <c r="U193" s="139"/>
      <c r="V193" s="45"/>
      <c r="W193" s="136"/>
      <c r="X193" s="134"/>
      <c r="Y193" s="166"/>
      <c r="Z193" s="126"/>
      <c r="AA193" s="130"/>
      <c r="AB193" s="126"/>
      <c r="AC193" s="130"/>
      <c r="AD193" s="126"/>
      <c r="AE193" s="130"/>
      <c r="AF193" s="126"/>
      <c r="AG193" s="43"/>
      <c r="AH193" s="44"/>
      <c r="AI193" s="45">
        <v>1</v>
      </c>
      <c r="AJ193" s="46"/>
      <c r="AK193" s="41"/>
      <c r="AL193" s="47"/>
      <c r="AM193" s="48"/>
      <c r="AN193" s="111"/>
      <c r="AO193" s="42"/>
      <c r="AP193" s="42"/>
      <c r="AQ193" s="115"/>
      <c r="AR193" s="75"/>
      <c r="AS193" s="40">
        <f t="shared" si="22"/>
        <v>1</v>
      </c>
      <c r="AT193" s="40"/>
      <c r="AW193" s="42">
        <f>SUM(E193-(AX193*100))</f>
        <v>200</v>
      </c>
      <c r="AX193" s="42">
        <f>SUM(AY193:BE193)</f>
        <v>1</v>
      </c>
      <c r="AY193" s="42">
        <f>SUM(G193:I193)</f>
        <v>2</v>
      </c>
      <c r="AZ193" s="42">
        <f>SUM(0-COUNTA(J193:L193))</f>
        <v>-1</v>
      </c>
      <c r="BA193" s="42">
        <f>COUNTA(#REF!)</f>
        <v>1</v>
      </c>
      <c r="BB193" s="42">
        <f>COUNTA(Z193:AF193)</f>
        <v>0</v>
      </c>
      <c r="BC193" s="49"/>
      <c r="BD193" s="49"/>
      <c r="BE193" s="49">
        <v>-1</v>
      </c>
    </row>
    <row r="194" spans="1:62" ht="26" hidden="1" x14ac:dyDescent="0.35">
      <c r="A194" s="197" t="s">
        <v>2640</v>
      </c>
      <c r="B194" s="197" t="s">
        <v>1826</v>
      </c>
      <c r="C194" s="198" t="s">
        <v>98</v>
      </c>
      <c r="D194" s="198" t="s">
        <v>8</v>
      </c>
      <c r="E194" s="198">
        <v>300</v>
      </c>
      <c r="F194" s="198" t="s">
        <v>1868</v>
      </c>
      <c r="G194" s="85"/>
      <c r="H194" s="86">
        <v>3</v>
      </c>
      <c r="I194" s="87"/>
      <c r="J194" s="88" t="s">
        <v>12</v>
      </c>
      <c r="K194" s="89"/>
      <c r="L194" s="90"/>
      <c r="M194" s="165"/>
      <c r="N194" s="134"/>
      <c r="O194" s="45"/>
      <c r="P194" s="130"/>
      <c r="Q194" s="45"/>
      <c r="R194" s="136" t="s">
        <v>12</v>
      </c>
      <c r="S194" s="139"/>
      <c r="T194" s="136"/>
      <c r="U194" s="139"/>
      <c r="V194" s="45"/>
      <c r="W194" s="136"/>
      <c r="X194" s="134"/>
      <c r="Y194" s="166"/>
      <c r="Z194" s="126"/>
      <c r="AA194" s="130"/>
      <c r="AB194" s="126"/>
      <c r="AC194" s="130"/>
      <c r="AD194" s="126"/>
      <c r="AE194" s="130"/>
      <c r="AF194" s="126"/>
      <c r="AG194" s="43"/>
      <c r="AH194" s="44"/>
      <c r="AI194" s="45"/>
      <c r="AJ194" s="46">
        <v>1</v>
      </c>
      <c r="AK194" s="41"/>
      <c r="AL194" s="47"/>
      <c r="AM194" s="48"/>
      <c r="AN194" s="111"/>
      <c r="AO194" s="42"/>
      <c r="AP194" s="42"/>
      <c r="AQ194" s="115"/>
      <c r="AR194" s="75"/>
      <c r="AS194" s="40">
        <f t="shared" ref="AS194:AS252" si="28">SUM(AG194:AR194)</f>
        <v>1</v>
      </c>
      <c r="AT194" s="40"/>
      <c r="AW194" s="42">
        <f>SUM(E194-(AX194*100))</f>
        <v>100</v>
      </c>
      <c r="AX194" s="42">
        <f>SUM(AY194:BE194)</f>
        <v>2</v>
      </c>
      <c r="AY194" s="42">
        <f>SUM(G194:I194)</f>
        <v>3</v>
      </c>
      <c r="AZ194" s="42">
        <f>SUM(0-COUNTA(J194:L194))</f>
        <v>-1</v>
      </c>
      <c r="BA194" s="42">
        <f>COUNTA(#REF!)</f>
        <v>1</v>
      </c>
      <c r="BB194" s="42">
        <f>COUNTA(Z194:AF194)</f>
        <v>0</v>
      </c>
      <c r="BC194" s="49"/>
      <c r="BD194" s="49"/>
      <c r="BE194" s="49">
        <v>-1</v>
      </c>
    </row>
    <row r="195" spans="1:62" ht="26" hidden="1" x14ac:dyDescent="0.35">
      <c r="A195" s="197" t="s">
        <v>2640</v>
      </c>
      <c r="B195" s="197" t="s">
        <v>1826</v>
      </c>
      <c r="C195" s="198" t="s">
        <v>20</v>
      </c>
      <c r="D195" s="198" t="s">
        <v>8</v>
      </c>
      <c r="E195" s="198">
        <v>200</v>
      </c>
      <c r="F195" s="198" t="s">
        <v>1398</v>
      </c>
      <c r="G195" s="85"/>
      <c r="H195" s="86">
        <v>1</v>
      </c>
      <c r="I195" s="87">
        <v>1</v>
      </c>
      <c r="J195" s="88" t="s">
        <v>12</v>
      </c>
      <c r="K195" s="89"/>
      <c r="L195" s="90"/>
      <c r="M195" s="165"/>
      <c r="N195" s="134"/>
      <c r="O195" s="45"/>
      <c r="P195" s="130"/>
      <c r="Q195" s="45"/>
      <c r="R195" s="136"/>
      <c r="S195" s="139"/>
      <c r="T195" s="136"/>
      <c r="U195" s="139" t="s">
        <v>12</v>
      </c>
      <c r="V195" s="45"/>
      <c r="W195" s="136"/>
      <c r="X195" s="134"/>
      <c r="Y195" s="166"/>
      <c r="Z195" s="126"/>
      <c r="AA195" s="130"/>
      <c r="AB195" s="126"/>
      <c r="AC195" s="130"/>
      <c r="AD195" s="126"/>
      <c r="AE195" s="130"/>
      <c r="AF195" s="126"/>
      <c r="AG195" s="43">
        <v>1</v>
      </c>
      <c r="AH195" s="44"/>
      <c r="AI195" s="45"/>
      <c r="AJ195" s="46"/>
      <c r="AK195" s="41"/>
      <c r="AL195" s="47"/>
      <c r="AM195" s="48"/>
      <c r="AN195" s="111"/>
      <c r="AO195" s="42"/>
      <c r="AP195" s="42"/>
      <c r="AQ195" s="115"/>
      <c r="AR195" s="75"/>
      <c r="AS195" s="40">
        <f t="shared" si="28"/>
        <v>1</v>
      </c>
      <c r="AT195" s="40"/>
      <c r="AW195" s="42">
        <f>SUM(E195-(AX195*100))</f>
        <v>100</v>
      </c>
      <c r="AX195" s="42">
        <f>SUM(AY195:BE195)</f>
        <v>1</v>
      </c>
      <c r="AY195" s="42">
        <f>SUM(G195:I195)</f>
        <v>2</v>
      </c>
      <c r="AZ195" s="42">
        <f>SUM(0-COUNTA(J195:L195))</f>
        <v>-1</v>
      </c>
      <c r="BA195" s="42">
        <f>COUNTA(#REF!)</f>
        <v>1</v>
      </c>
      <c r="BB195" s="42">
        <f>COUNTA(Z195:AF195)</f>
        <v>0</v>
      </c>
      <c r="BC195" s="49"/>
      <c r="BD195" s="49"/>
      <c r="BE195" s="49">
        <v>-1</v>
      </c>
    </row>
    <row r="196" spans="1:62" ht="26" hidden="1" x14ac:dyDescent="0.35">
      <c r="A196" s="197" t="s">
        <v>2640</v>
      </c>
      <c r="B196" s="197" t="s">
        <v>1826</v>
      </c>
      <c r="C196" s="198" t="s">
        <v>121</v>
      </c>
      <c r="D196" s="198" t="s">
        <v>8</v>
      </c>
      <c r="E196" s="198">
        <v>300</v>
      </c>
      <c r="F196" s="198" t="s">
        <v>1882</v>
      </c>
      <c r="G196" s="85">
        <v>2</v>
      </c>
      <c r="H196" s="86"/>
      <c r="I196" s="87"/>
      <c r="J196" s="88" t="s">
        <v>12</v>
      </c>
      <c r="K196" s="89"/>
      <c r="L196" s="90" t="s">
        <v>12</v>
      </c>
      <c r="M196" s="165"/>
      <c r="N196" s="134"/>
      <c r="O196" s="45"/>
      <c r="P196" s="130"/>
      <c r="Q196" s="45"/>
      <c r="R196" s="136"/>
      <c r="S196" s="139"/>
      <c r="T196" s="136"/>
      <c r="U196" s="139"/>
      <c r="V196" s="45" t="s">
        <v>12</v>
      </c>
      <c r="W196" s="136"/>
      <c r="X196" s="134"/>
      <c r="Y196" s="166"/>
      <c r="Z196" s="126"/>
      <c r="AA196" s="130"/>
      <c r="AB196" s="126"/>
      <c r="AC196" s="130"/>
      <c r="AD196" s="126"/>
      <c r="AE196" s="130"/>
      <c r="AF196" s="126"/>
      <c r="AG196" s="43"/>
      <c r="AH196" s="44"/>
      <c r="AI196" s="45">
        <v>1</v>
      </c>
      <c r="AJ196" s="46"/>
      <c r="AK196" s="41"/>
      <c r="AL196" s="47"/>
      <c r="AM196" s="48"/>
      <c r="AN196" s="111"/>
      <c r="AO196" s="42"/>
      <c r="AP196" s="42"/>
      <c r="AQ196" s="115"/>
      <c r="AR196" s="75"/>
      <c r="AS196" s="40">
        <f t="shared" si="28"/>
        <v>1</v>
      </c>
      <c r="AT196" s="40"/>
      <c r="AW196" s="42">
        <f>SUM(E196-(AX196*100))</f>
        <v>300</v>
      </c>
      <c r="AX196" s="42">
        <f>SUM(AY196:BE196)</f>
        <v>0</v>
      </c>
      <c r="AY196" s="42">
        <f>SUM(G196:I196)</f>
        <v>2</v>
      </c>
      <c r="AZ196" s="42">
        <f>SUM(0-COUNTA(J196:L196))</f>
        <v>-2</v>
      </c>
      <c r="BA196" s="42">
        <f>COUNTA(#REF!)</f>
        <v>1</v>
      </c>
      <c r="BB196" s="42">
        <f>COUNTA(Z196:AF196)</f>
        <v>0</v>
      </c>
      <c r="BC196" s="49"/>
      <c r="BD196" s="49"/>
      <c r="BE196" s="49">
        <v>-1</v>
      </c>
    </row>
    <row r="197" spans="1:62" ht="26" hidden="1" x14ac:dyDescent="0.35">
      <c r="A197" s="197" t="s">
        <v>2640</v>
      </c>
      <c r="B197" s="197" t="s">
        <v>1826</v>
      </c>
      <c r="C197" s="198" t="s">
        <v>1399</v>
      </c>
      <c r="D197" s="198" t="s">
        <v>131</v>
      </c>
      <c r="E197" s="198">
        <v>0</v>
      </c>
      <c r="F197" s="198" t="s">
        <v>1400</v>
      </c>
      <c r="G197" s="85"/>
      <c r="H197" s="86"/>
      <c r="I197" s="87"/>
      <c r="J197" s="88"/>
      <c r="K197" s="89"/>
      <c r="L197" s="90"/>
      <c r="M197" s="165"/>
      <c r="N197" s="134"/>
      <c r="O197" s="45"/>
      <c r="P197" s="130"/>
      <c r="Q197" s="45"/>
      <c r="R197" s="136"/>
      <c r="S197" s="139"/>
      <c r="T197" s="136"/>
      <c r="U197" s="139"/>
      <c r="V197" s="45"/>
      <c r="W197" s="136"/>
      <c r="X197" s="134"/>
      <c r="Y197" s="166"/>
      <c r="Z197" s="126"/>
      <c r="AA197" s="130"/>
      <c r="AB197" s="126"/>
      <c r="AC197" s="130"/>
      <c r="AD197" s="126"/>
      <c r="AE197" s="130"/>
      <c r="AF197" s="126"/>
      <c r="AG197" s="43"/>
      <c r="AH197" s="44"/>
      <c r="AI197" s="45">
        <v>1</v>
      </c>
      <c r="AJ197" s="46"/>
      <c r="AK197" s="41"/>
      <c r="AL197" s="47"/>
      <c r="AM197" s="48"/>
      <c r="AN197" s="111"/>
      <c r="AO197" s="42"/>
      <c r="AP197" s="42"/>
      <c r="AQ197" s="115"/>
      <c r="AR197" s="75"/>
      <c r="AS197" s="40">
        <f t="shared" si="28"/>
        <v>1</v>
      </c>
      <c r="AT197" s="40"/>
      <c r="AW197" s="42"/>
      <c r="AX197" s="42"/>
      <c r="AY197" s="42"/>
      <c r="AZ197" s="42"/>
      <c r="BA197" s="42"/>
      <c r="BB197" s="42"/>
      <c r="BC197" s="49"/>
      <c r="BD197" s="49"/>
      <c r="BE197" s="49"/>
      <c r="BH197" s="31" t="s">
        <v>2261</v>
      </c>
      <c r="BI197" s="31" t="s">
        <v>2248</v>
      </c>
      <c r="BJ197" s="31" t="s">
        <v>12</v>
      </c>
    </row>
    <row r="198" spans="1:62" ht="26" hidden="1" x14ac:dyDescent="0.35">
      <c r="A198" s="197" t="s">
        <v>2640</v>
      </c>
      <c r="B198" s="197" t="s">
        <v>1826</v>
      </c>
      <c r="C198" s="198" t="s">
        <v>1401</v>
      </c>
      <c r="D198" s="198" t="s">
        <v>131</v>
      </c>
      <c r="E198" s="198">
        <v>0</v>
      </c>
      <c r="F198" s="198" t="s">
        <v>1402</v>
      </c>
      <c r="G198" s="85"/>
      <c r="H198" s="86"/>
      <c r="I198" s="87"/>
      <c r="J198" s="88"/>
      <c r="K198" s="89"/>
      <c r="L198" s="90"/>
      <c r="M198" s="165"/>
      <c r="N198" s="134"/>
      <c r="O198" s="45"/>
      <c r="P198" s="130"/>
      <c r="Q198" s="45"/>
      <c r="R198" s="136"/>
      <c r="S198" s="139"/>
      <c r="T198" s="136"/>
      <c r="U198" s="139"/>
      <c r="V198" s="45"/>
      <c r="W198" s="136"/>
      <c r="X198" s="134"/>
      <c r="Y198" s="166"/>
      <c r="Z198" s="126"/>
      <c r="AA198" s="130"/>
      <c r="AB198" s="126"/>
      <c r="AC198" s="130"/>
      <c r="AD198" s="126"/>
      <c r="AE198" s="130"/>
      <c r="AF198" s="126"/>
      <c r="AG198" s="43">
        <v>1</v>
      </c>
      <c r="AH198" s="44"/>
      <c r="AI198" s="45"/>
      <c r="AJ198" s="46"/>
      <c r="AK198" s="41"/>
      <c r="AL198" s="47"/>
      <c r="AM198" s="48"/>
      <c r="AN198" s="111"/>
      <c r="AO198" s="42"/>
      <c r="AP198" s="42"/>
      <c r="AQ198" s="115"/>
      <c r="AR198" s="75"/>
      <c r="AS198" s="40">
        <f t="shared" si="28"/>
        <v>1</v>
      </c>
      <c r="AT198" s="40"/>
      <c r="AW198" s="42"/>
      <c r="AX198" s="42"/>
      <c r="AY198" s="42"/>
      <c r="AZ198" s="42"/>
      <c r="BA198" s="42"/>
      <c r="BB198" s="42"/>
      <c r="BC198" s="49"/>
      <c r="BD198" s="49"/>
      <c r="BE198" s="49"/>
      <c r="BH198" s="31" t="s">
        <v>2276</v>
      </c>
      <c r="BI198" s="31" t="s">
        <v>2277</v>
      </c>
      <c r="BJ198" s="31" t="s">
        <v>12</v>
      </c>
    </row>
    <row r="199" spans="1:62" ht="26" hidden="1" x14ac:dyDescent="0.35">
      <c r="A199" s="197" t="s">
        <v>2640</v>
      </c>
      <c r="B199" s="197" t="s">
        <v>1826</v>
      </c>
      <c r="C199" s="198" t="s">
        <v>148</v>
      </c>
      <c r="D199" s="198" t="s">
        <v>136</v>
      </c>
      <c r="E199" s="198">
        <v>500</v>
      </c>
      <c r="F199" s="198" t="s">
        <v>1397</v>
      </c>
      <c r="G199" s="85">
        <v>2</v>
      </c>
      <c r="H199" s="86"/>
      <c r="I199" s="87">
        <v>1</v>
      </c>
      <c r="J199" s="88" t="s">
        <v>12</v>
      </c>
      <c r="K199" s="89"/>
      <c r="L199" s="90"/>
      <c r="M199" s="165"/>
      <c r="N199" s="134"/>
      <c r="O199" s="45"/>
      <c r="P199" s="130"/>
      <c r="Q199" s="45"/>
      <c r="R199" s="136"/>
      <c r="S199" s="139"/>
      <c r="T199" s="136"/>
      <c r="U199" s="139" t="s">
        <v>12</v>
      </c>
      <c r="V199" s="45" t="s">
        <v>12</v>
      </c>
      <c r="W199" s="136"/>
      <c r="X199" s="134"/>
      <c r="Y199" s="166"/>
      <c r="Z199" s="126"/>
      <c r="AA199" s="130"/>
      <c r="AB199" s="126"/>
      <c r="AC199" s="130"/>
      <c r="AD199" s="126"/>
      <c r="AE199" s="130"/>
      <c r="AF199" s="126"/>
      <c r="AG199" s="43"/>
      <c r="AH199" s="44"/>
      <c r="AI199" s="45"/>
      <c r="AJ199" s="46"/>
      <c r="AK199" s="41"/>
      <c r="AL199" s="47"/>
      <c r="AM199" s="48"/>
      <c r="AN199" s="111"/>
      <c r="AO199" s="42"/>
      <c r="AP199" s="42"/>
      <c r="AQ199" s="115"/>
      <c r="AR199" s="75">
        <v>1</v>
      </c>
      <c r="AS199" s="40">
        <f t="shared" si="28"/>
        <v>1</v>
      </c>
      <c r="AT199" s="40"/>
      <c r="AW199" s="40"/>
      <c r="AX199" s="40"/>
      <c r="AY199" s="40"/>
      <c r="AZ199" s="42"/>
      <c r="BA199" s="42"/>
      <c r="BB199" s="42"/>
      <c r="BC199" s="49"/>
      <c r="BD199" s="49"/>
      <c r="BE199" s="49"/>
    </row>
    <row r="200" spans="1:62" ht="26" hidden="1" x14ac:dyDescent="0.35">
      <c r="A200" s="120" t="s">
        <v>2641</v>
      </c>
      <c r="B200" s="120" t="s">
        <v>2060</v>
      </c>
      <c r="C200" s="121" t="s">
        <v>749</v>
      </c>
      <c r="D200" s="121" t="s">
        <v>8</v>
      </c>
      <c r="E200" s="121">
        <v>200</v>
      </c>
      <c r="F200" s="121" t="s">
        <v>1835</v>
      </c>
      <c r="G200" s="85"/>
      <c r="H200" s="86"/>
      <c r="I200" s="87">
        <v>1</v>
      </c>
      <c r="J200" s="88"/>
      <c r="K200" s="89"/>
      <c r="L200" s="90"/>
      <c r="M200" s="165"/>
      <c r="N200" s="134"/>
      <c r="O200" s="45"/>
      <c r="P200" s="130" t="s">
        <v>12</v>
      </c>
      <c r="Q200" s="45"/>
      <c r="R200" s="136"/>
      <c r="S200" s="139"/>
      <c r="T200" s="136"/>
      <c r="U200" s="139"/>
      <c r="V200" s="45"/>
      <c r="W200" s="136"/>
      <c r="X200" s="134"/>
      <c r="Y200" s="166"/>
      <c r="Z200" s="126"/>
      <c r="AA200" s="130"/>
      <c r="AB200" s="126"/>
      <c r="AC200" s="130"/>
      <c r="AD200" s="126"/>
      <c r="AE200" s="130"/>
      <c r="AF200" s="126"/>
      <c r="AG200" s="43"/>
      <c r="AH200" s="44">
        <v>2</v>
      </c>
      <c r="AI200" s="45"/>
      <c r="AJ200" s="46"/>
      <c r="AK200" s="41"/>
      <c r="AL200" s="47"/>
      <c r="AM200" s="48"/>
      <c r="AN200" s="111"/>
      <c r="AO200" s="42"/>
      <c r="AP200" s="42"/>
      <c r="AQ200" s="115"/>
      <c r="AR200" s="75"/>
      <c r="AS200" s="40">
        <f t="shared" si="28"/>
        <v>2</v>
      </c>
      <c r="AT200" s="40" t="s">
        <v>1753</v>
      </c>
      <c r="AW200" s="42">
        <f>SUM(E200-(AX200*100))</f>
        <v>0</v>
      </c>
      <c r="AX200" s="42">
        <f>SUM(AY200:BE200)</f>
        <v>2</v>
      </c>
      <c r="AY200" s="42">
        <f>SUM(G200:I200)</f>
        <v>1</v>
      </c>
      <c r="AZ200" s="42">
        <f>SUM(0-COUNTA(J200:L200))</f>
        <v>0</v>
      </c>
      <c r="BA200" s="42">
        <f>COUNTA(#REF!)</f>
        <v>1</v>
      </c>
      <c r="BB200" s="42">
        <f>COUNTA(Z200:AF200)</f>
        <v>0</v>
      </c>
      <c r="BC200" s="49"/>
      <c r="BD200" s="49">
        <v>-1</v>
      </c>
      <c r="BE200" s="49">
        <v>1</v>
      </c>
    </row>
    <row r="201" spans="1:62" ht="26" x14ac:dyDescent="0.35">
      <c r="A201" s="120" t="s">
        <v>2641</v>
      </c>
      <c r="B201" s="120" t="s">
        <v>2060</v>
      </c>
      <c r="C201" s="121" t="s">
        <v>748</v>
      </c>
      <c r="D201" s="121" t="s">
        <v>8</v>
      </c>
      <c r="E201" s="121">
        <v>300</v>
      </c>
      <c r="F201" s="121" t="s">
        <v>1765</v>
      </c>
      <c r="G201" s="85"/>
      <c r="H201" s="86"/>
      <c r="I201" s="87">
        <v>2</v>
      </c>
      <c r="J201" s="88"/>
      <c r="K201" s="89"/>
      <c r="L201" s="90" t="s">
        <v>12</v>
      </c>
      <c r="M201" s="165"/>
      <c r="N201" s="134"/>
      <c r="O201" s="45"/>
      <c r="P201" s="130"/>
      <c r="Q201" s="45"/>
      <c r="R201" s="136"/>
      <c r="S201" s="139" t="s">
        <v>12</v>
      </c>
      <c r="T201" s="136"/>
      <c r="U201" s="139"/>
      <c r="V201" s="45"/>
      <c r="W201" s="136"/>
      <c r="X201" s="134"/>
      <c r="Y201" s="166"/>
      <c r="Z201" s="126"/>
      <c r="AA201" s="130"/>
      <c r="AB201" s="126"/>
      <c r="AC201" s="130"/>
      <c r="AD201" s="126"/>
      <c r="AE201" s="130"/>
      <c r="AF201" s="126"/>
      <c r="AG201" s="43"/>
      <c r="AH201" s="44"/>
      <c r="AI201" s="45"/>
      <c r="AJ201" s="46"/>
      <c r="AK201" s="41">
        <v>1</v>
      </c>
      <c r="AL201" s="47"/>
      <c r="AM201" s="48"/>
      <c r="AN201" s="111"/>
      <c r="AO201" s="42"/>
      <c r="AP201" s="42"/>
      <c r="AQ201" s="115"/>
      <c r="AR201" s="75"/>
      <c r="AS201" s="40">
        <f t="shared" si="28"/>
        <v>1</v>
      </c>
      <c r="AT201" s="40" t="s">
        <v>1750</v>
      </c>
      <c r="AW201" s="42">
        <f>SUM(E201-(AX201*100))</f>
        <v>0</v>
      </c>
      <c r="AX201" s="42">
        <f>SUM(AY201:BE201)</f>
        <v>3</v>
      </c>
      <c r="AY201" s="42">
        <f>SUM(G201:I201)</f>
        <v>2</v>
      </c>
      <c r="AZ201" s="42">
        <f>SUM(0-COUNTA(J201:L201))</f>
        <v>-1</v>
      </c>
      <c r="BA201" s="42">
        <f>COUNTA(#REF!)</f>
        <v>1</v>
      </c>
      <c r="BB201" s="42">
        <f>COUNTA(Z201:AF201)</f>
        <v>0</v>
      </c>
      <c r="BC201" s="49"/>
      <c r="BD201" s="49"/>
      <c r="BE201" s="49">
        <v>1</v>
      </c>
    </row>
    <row r="202" spans="1:62" ht="26" hidden="1" x14ac:dyDescent="0.35">
      <c r="A202" s="120" t="s">
        <v>2641</v>
      </c>
      <c r="B202" s="120" t="s">
        <v>2060</v>
      </c>
      <c r="C202" s="121" t="s">
        <v>747</v>
      </c>
      <c r="D202" s="121" t="s">
        <v>8</v>
      </c>
      <c r="E202" s="121">
        <v>300</v>
      </c>
      <c r="F202" s="121" t="s">
        <v>2341</v>
      </c>
      <c r="G202" s="85">
        <v>2</v>
      </c>
      <c r="H202" s="86"/>
      <c r="I202" s="87"/>
      <c r="J202" s="88"/>
      <c r="K202" s="89"/>
      <c r="L202" s="90" t="s">
        <v>12</v>
      </c>
      <c r="M202" s="165"/>
      <c r="N202" s="134"/>
      <c r="O202" s="45" t="s">
        <v>12</v>
      </c>
      <c r="P202" s="130"/>
      <c r="Q202" s="45"/>
      <c r="R202" s="136"/>
      <c r="S202" s="139"/>
      <c r="T202" s="136"/>
      <c r="U202" s="139"/>
      <c r="V202" s="45"/>
      <c r="W202" s="136"/>
      <c r="X202" s="134"/>
      <c r="Y202" s="166" t="s">
        <v>12</v>
      </c>
      <c r="Z202" s="126"/>
      <c r="AA202" s="130"/>
      <c r="AB202" s="126"/>
      <c r="AC202" s="130"/>
      <c r="AD202" s="126"/>
      <c r="AE202" s="130"/>
      <c r="AF202" s="126"/>
      <c r="AG202" s="43"/>
      <c r="AH202" s="44"/>
      <c r="AI202" s="45">
        <v>1</v>
      </c>
      <c r="AJ202" s="46"/>
      <c r="AK202" s="41"/>
      <c r="AL202" s="47"/>
      <c r="AM202" s="48"/>
      <c r="AN202" s="111"/>
      <c r="AO202" s="42"/>
      <c r="AP202" s="42"/>
      <c r="AQ202" s="115"/>
      <c r="AR202" s="75"/>
      <c r="AS202" s="40">
        <f t="shared" si="28"/>
        <v>1</v>
      </c>
      <c r="AT202" s="40" t="s">
        <v>1768</v>
      </c>
      <c r="AW202" s="42">
        <f>SUM(E202-(AX202*100))</f>
        <v>0</v>
      </c>
      <c r="AX202" s="42">
        <f>SUM(AY202:BE202)</f>
        <v>3</v>
      </c>
      <c r="AY202" s="42">
        <f>SUM(G202:I202)</f>
        <v>2</v>
      </c>
      <c r="AZ202" s="42">
        <f>SUM(0-COUNTA(J202:L202))</f>
        <v>-1</v>
      </c>
      <c r="BA202" s="42">
        <f>COUNTA(#REF!)</f>
        <v>1</v>
      </c>
      <c r="BB202" s="42">
        <f>COUNTA(Z202:AF202)</f>
        <v>0</v>
      </c>
      <c r="BC202" s="49">
        <v>1</v>
      </c>
      <c r="BD202" s="49"/>
      <c r="BE202" s="49">
        <v>0</v>
      </c>
    </row>
    <row r="203" spans="1:62" ht="26" hidden="1" x14ac:dyDescent="0.35">
      <c r="A203" s="120" t="s">
        <v>2641</v>
      </c>
      <c r="B203" s="120" t="s">
        <v>2060</v>
      </c>
      <c r="C203" s="121" t="s">
        <v>746</v>
      </c>
      <c r="D203" s="121" t="s">
        <v>8</v>
      </c>
      <c r="E203" s="121">
        <v>0</v>
      </c>
      <c r="F203" s="121" t="s">
        <v>2339</v>
      </c>
      <c r="G203" s="85"/>
      <c r="H203" s="86"/>
      <c r="I203" s="87"/>
      <c r="J203" s="88" t="s">
        <v>12</v>
      </c>
      <c r="K203" s="89"/>
      <c r="L203" s="90"/>
      <c r="M203" s="165"/>
      <c r="N203" s="134"/>
      <c r="O203" s="45"/>
      <c r="P203" s="130"/>
      <c r="Q203" s="45"/>
      <c r="R203" s="136"/>
      <c r="S203" s="139"/>
      <c r="T203" s="136"/>
      <c r="U203" s="139"/>
      <c r="V203" s="45"/>
      <c r="W203" s="136"/>
      <c r="X203" s="134"/>
      <c r="Y203" s="166"/>
      <c r="Z203" s="126"/>
      <c r="AA203" s="130"/>
      <c r="AB203" s="126"/>
      <c r="AC203" s="130"/>
      <c r="AD203" s="126"/>
      <c r="AE203" s="130"/>
      <c r="AF203" s="126"/>
      <c r="AG203" s="43">
        <v>1</v>
      </c>
      <c r="AH203" s="44">
        <v>1</v>
      </c>
      <c r="AI203" s="45">
        <v>1</v>
      </c>
      <c r="AJ203" s="46">
        <v>1</v>
      </c>
      <c r="AK203" s="41">
        <v>1</v>
      </c>
      <c r="AL203" s="47"/>
      <c r="AM203" s="48"/>
      <c r="AN203" s="111"/>
      <c r="AO203" s="42"/>
      <c r="AP203" s="42"/>
      <c r="AQ203" s="115"/>
      <c r="AR203" s="75"/>
      <c r="AS203" s="40">
        <f t="shared" si="28"/>
        <v>5</v>
      </c>
      <c r="AT203" s="40" t="s">
        <v>1764</v>
      </c>
      <c r="AW203" s="42">
        <f>SUM(E203-(AX203*100))</f>
        <v>-100</v>
      </c>
      <c r="AX203" s="42">
        <f>SUM(AY203:BE203)</f>
        <v>1</v>
      </c>
      <c r="AY203" s="42">
        <f>SUM(G203:I203)</f>
        <v>0</v>
      </c>
      <c r="AZ203" s="42">
        <f>SUM(0-COUNTA(J203:L203))</f>
        <v>-1</v>
      </c>
      <c r="BA203" s="42">
        <f>COUNTA(#REF!)</f>
        <v>1</v>
      </c>
      <c r="BB203" s="42">
        <f>COUNTA(Z203:AF203)</f>
        <v>0</v>
      </c>
      <c r="BC203" s="49"/>
      <c r="BD203" s="49"/>
      <c r="BE203" s="49">
        <v>1</v>
      </c>
    </row>
    <row r="204" spans="1:62" ht="26" hidden="1" x14ac:dyDescent="0.35">
      <c r="A204" s="120" t="s">
        <v>2641</v>
      </c>
      <c r="B204" s="120" t="s">
        <v>2060</v>
      </c>
      <c r="C204" s="121" t="s">
        <v>746</v>
      </c>
      <c r="D204" s="121" t="s">
        <v>8</v>
      </c>
      <c r="E204" s="121">
        <v>0</v>
      </c>
      <c r="F204" s="121" t="s">
        <v>2338</v>
      </c>
      <c r="G204" s="85"/>
      <c r="H204" s="86"/>
      <c r="I204" s="87"/>
      <c r="J204" s="88"/>
      <c r="K204" s="89"/>
      <c r="L204" s="90" t="s">
        <v>12</v>
      </c>
      <c r="M204" s="165"/>
      <c r="N204" s="134"/>
      <c r="O204" s="45"/>
      <c r="P204" s="130"/>
      <c r="Q204" s="45"/>
      <c r="R204" s="136"/>
      <c r="S204" s="139"/>
      <c r="T204" s="136"/>
      <c r="U204" s="139"/>
      <c r="V204" s="45"/>
      <c r="W204" s="136"/>
      <c r="X204" s="134"/>
      <c r="Y204" s="166"/>
      <c r="Z204" s="126"/>
      <c r="AA204" s="130"/>
      <c r="AB204" s="126"/>
      <c r="AC204" s="130"/>
      <c r="AD204" s="126"/>
      <c r="AE204" s="130"/>
      <c r="AF204" s="126"/>
      <c r="AG204" s="43"/>
      <c r="AH204" s="44"/>
      <c r="AI204" s="45"/>
      <c r="AJ204" s="46"/>
      <c r="AK204" s="41"/>
      <c r="AL204" s="47">
        <v>1</v>
      </c>
      <c r="AM204" s="48">
        <v>1</v>
      </c>
      <c r="AN204" s="111"/>
      <c r="AO204" s="42"/>
      <c r="AP204" s="42"/>
      <c r="AQ204" s="115"/>
      <c r="AR204" s="75"/>
      <c r="AS204" s="40">
        <f t="shared" si="28"/>
        <v>2</v>
      </c>
      <c r="AT204" s="40"/>
      <c r="AW204" s="42"/>
      <c r="AX204" s="42"/>
      <c r="AY204" s="42"/>
      <c r="AZ204" s="42"/>
      <c r="BA204" s="42"/>
      <c r="BB204" s="42"/>
      <c r="BC204" s="49"/>
      <c r="BD204" s="49"/>
      <c r="BE204" s="49"/>
    </row>
    <row r="205" spans="1:62" ht="26" hidden="1" x14ac:dyDescent="0.35">
      <c r="A205" s="120" t="s">
        <v>2641</v>
      </c>
      <c r="B205" s="120" t="s">
        <v>2060</v>
      </c>
      <c r="C205" s="121" t="s">
        <v>745</v>
      </c>
      <c r="D205" s="121" t="s">
        <v>8</v>
      </c>
      <c r="E205" s="121">
        <v>300</v>
      </c>
      <c r="F205" s="121" t="s">
        <v>2225</v>
      </c>
      <c r="G205" s="85">
        <v>1</v>
      </c>
      <c r="H205" s="86">
        <v>1</v>
      </c>
      <c r="I205" s="87">
        <v>1</v>
      </c>
      <c r="J205" s="88"/>
      <c r="K205" s="89"/>
      <c r="L205" s="90"/>
      <c r="M205" s="165"/>
      <c r="N205" s="134"/>
      <c r="O205" s="45"/>
      <c r="P205" s="130"/>
      <c r="Q205" s="45"/>
      <c r="R205" s="136"/>
      <c r="S205" s="139"/>
      <c r="T205" s="136"/>
      <c r="U205" s="139"/>
      <c r="V205" s="45" t="s">
        <v>12</v>
      </c>
      <c r="W205" s="136"/>
      <c r="X205" s="134"/>
      <c r="Y205" s="166"/>
      <c r="Z205" s="126"/>
      <c r="AA205" s="130"/>
      <c r="AB205" s="126"/>
      <c r="AC205" s="130"/>
      <c r="AD205" s="126"/>
      <c r="AE205" s="130"/>
      <c r="AF205" s="126"/>
      <c r="AG205" s="43"/>
      <c r="AH205" s="44"/>
      <c r="AI205" s="45">
        <v>1</v>
      </c>
      <c r="AJ205" s="46"/>
      <c r="AK205" s="41"/>
      <c r="AL205" s="47"/>
      <c r="AM205" s="48"/>
      <c r="AN205" s="111"/>
      <c r="AO205" s="42"/>
      <c r="AP205" s="42"/>
      <c r="AQ205" s="115"/>
      <c r="AR205" s="75"/>
      <c r="AS205" s="40">
        <f t="shared" si="28"/>
        <v>1</v>
      </c>
      <c r="AT205" s="40" t="s">
        <v>1766</v>
      </c>
      <c r="AW205" s="42">
        <f>SUM(E205-(AX205*100))</f>
        <v>0</v>
      </c>
      <c r="AX205" s="42">
        <f>SUM(AY205:BE205)</f>
        <v>3</v>
      </c>
      <c r="AY205" s="42">
        <f>SUM(G205:I205)</f>
        <v>3</v>
      </c>
      <c r="AZ205" s="42">
        <f>SUM(0-COUNTA(J205:L205))</f>
        <v>0</v>
      </c>
      <c r="BA205" s="42">
        <f>COUNTA(#REF!)</f>
        <v>1</v>
      </c>
      <c r="BB205" s="42">
        <f>COUNTA(Z205:AF205)</f>
        <v>0</v>
      </c>
      <c r="BC205" s="49"/>
      <c r="BD205" s="49">
        <v>-1</v>
      </c>
      <c r="BE205" s="49">
        <v>0</v>
      </c>
    </row>
    <row r="206" spans="1:62" ht="26" hidden="1" x14ac:dyDescent="0.35">
      <c r="A206" s="120" t="s">
        <v>2641</v>
      </c>
      <c r="B206" s="120" t="s">
        <v>2060</v>
      </c>
      <c r="C206" s="121" t="s">
        <v>744</v>
      </c>
      <c r="D206" s="121" t="s">
        <v>8</v>
      </c>
      <c r="E206" s="121">
        <v>200</v>
      </c>
      <c r="F206" s="121" t="s">
        <v>2621</v>
      </c>
      <c r="G206" s="85">
        <v>1</v>
      </c>
      <c r="H206" s="86">
        <v>1</v>
      </c>
      <c r="I206" s="87"/>
      <c r="J206" s="88" t="s">
        <v>12</v>
      </c>
      <c r="K206" s="89"/>
      <c r="L206" s="90"/>
      <c r="M206" s="165"/>
      <c r="N206" s="134"/>
      <c r="O206" s="45"/>
      <c r="P206" s="130"/>
      <c r="Q206" s="45"/>
      <c r="R206" s="136"/>
      <c r="S206" s="139"/>
      <c r="T206" s="136"/>
      <c r="U206" s="139" t="s">
        <v>12</v>
      </c>
      <c r="V206" s="45"/>
      <c r="W206" s="136"/>
      <c r="X206" s="134"/>
      <c r="Y206" s="166"/>
      <c r="Z206" s="126"/>
      <c r="AA206" s="130"/>
      <c r="AB206" s="126"/>
      <c r="AC206" s="130"/>
      <c r="AD206" s="126"/>
      <c r="AE206" s="130"/>
      <c r="AF206" s="126"/>
      <c r="AG206" s="43">
        <v>1</v>
      </c>
      <c r="AH206" s="44"/>
      <c r="AI206" s="45"/>
      <c r="AJ206" s="46"/>
      <c r="AK206" s="41"/>
      <c r="AL206" s="47"/>
      <c r="AM206" s="48"/>
      <c r="AN206" s="111"/>
      <c r="AO206" s="42"/>
      <c r="AP206" s="42"/>
      <c r="AQ206" s="115"/>
      <c r="AR206" s="75"/>
      <c r="AS206" s="40">
        <f t="shared" si="28"/>
        <v>1</v>
      </c>
      <c r="AT206" s="40" t="s">
        <v>1767</v>
      </c>
      <c r="AW206" s="42">
        <f>SUM(E206-(AX206*100))</f>
        <v>0</v>
      </c>
      <c r="AX206" s="42">
        <f>SUM(AY206:BE206)</f>
        <v>2</v>
      </c>
      <c r="AY206" s="42">
        <f>SUM(G206:I206)</f>
        <v>2</v>
      </c>
      <c r="AZ206" s="42">
        <f>SUM(0-COUNTA(J206:L206))</f>
        <v>-1</v>
      </c>
      <c r="BA206" s="42">
        <f>COUNTA(#REF!)</f>
        <v>1</v>
      </c>
      <c r="BB206" s="42">
        <f>COUNTA(Z206:AF206)</f>
        <v>0</v>
      </c>
      <c r="BC206" s="49"/>
      <c r="BD206" s="49"/>
      <c r="BE206" s="49">
        <v>0</v>
      </c>
    </row>
    <row r="207" spans="1:62" hidden="1" x14ac:dyDescent="0.35">
      <c r="A207" s="120" t="s">
        <v>2641</v>
      </c>
      <c r="B207" s="120" t="s">
        <v>2060</v>
      </c>
      <c r="C207" s="121" t="s">
        <v>743</v>
      </c>
      <c r="D207" s="121" t="s">
        <v>8</v>
      </c>
      <c r="E207" s="121">
        <v>200</v>
      </c>
      <c r="F207" s="121" t="s">
        <v>2340</v>
      </c>
      <c r="G207" s="85"/>
      <c r="H207" s="86">
        <v>2</v>
      </c>
      <c r="I207" s="87"/>
      <c r="J207" s="88"/>
      <c r="K207" s="89"/>
      <c r="L207" s="90"/>
      <c r="M207" s="165"/>
      <c r="N207" s="134"/>
      <c r="O207" s="45"/>
      <c r="P207" s="130"/>
      <c r="Q207" s="45"/>
      <c r="R207" s="136" t="s">
        <v>12</v>
      </c>
      <c r="S207" s="139"/>
      <c r="T207" s="136"/>
      <c r="U207" s="139"/>
      <c r="V207" s="45"/>
      <c r="W207" s="136"/>
      <c r="X207" s="134"/>
      <c r="Y207" s="166"/>
      <c r="Z207" s="126"/>
      <c r="AA207" s="130"/>
      <c r="AB207" s="126"/>
      <c r="AC207" s="130"/>
      <c r="AD207" s="126"/>
      <c r="AE207" s="130"/>
      <c r="AF207" s="126" t="s">
        <v>12</v>
      </c>
      <c r="AG207" s="43"/>
      <c r="AH207" s="44"/>
      <c r="AI207" s="45"/>
      <c r="AJ207" s="46">
        <v>1</v>
      </c>
      <c r="AK207" s="41"/>
      <c r="AL207" s="47"/>
      <c r="AM207" s="48"/>
      <c r="AN207" s="111"/>
      <c r="AO207" s="42"/>
      <c r="AP207" s="42"/>
      <c r="AQ207" s="115"/>
      <c r="AR207" s="75"/>
      <c r="AS207" s="40">
        <f t="shared" si="28"/>
        <v>1</v>
      </c>
      <c r="AT207" s="40" t="s">
        <v>1764</v>
      </c>
      <c r="AW207" s="42">
        <f>SUM(E207-(AX207*100))</f>
        <v>-100</v>
      </c>
      <c r="AX207" s="42">
        <f>SUM(AY207:BE207)</f>
        <v>3</v>
      </c>
      <c r="AY207" s="42">
        <f>SUM(G207:I207)</f>
        <v>2</v>
      </c>
      <c r="AZ207" s="42">
        <f>SUM(0-COUNTA(J207:L207))</f>
        <v>0</v>
      </c>
      <c r="BA207" s="42">
        <f>COUNTA(#REF!)</f>
        <v>1</v>
      </c>
      <c r="BB207" s="42">
        <f>COUNTA(Z207:AF207)</f>
        <v>1</v>
      </c>
      <c r="BC207" s="49"/>
      <c r="BD207" s="49"/>
      <c r="BE207" s="49">
        <v>-1</v>
      </c>
    </row>
    <row r="208" spans="1:62" ht="52" hidden="1" x14ac:dyDescent="0.35">
      <c r="A208" s="120" t="s">
        <v>2641</v>
      </c>
      <c r="B208" s="120" t="s">
        <v>2060</v>
      </c>
      <c r="C208" s="121" t="s">
        <v>2365</v>
      </c>
      <c r="D208" s="121" t="s">
        <v>736</v>
      </c>
      <c r="E208" s="121"/>
      <c r="F208" s="121" t="s">
        <v>1838</v>
      </c>
      <c r="G208" s="85"/>
      <c r="H208" s="86"/>
      <c r="I208" s="87"/>
      <c r="J208" s="88"/>
      <c r="K208" s="89"/>
      <c r="L208" s="90"/>
      <c r="M208" s="165"/>
      <c r="N208" s="134"/>
      <c r="O208" s="45"/>
      <c r="P208" s="130"/>
      <c r="Q208" s="45"/>
      <c r="R208" s="136"/>
      <c r="S208" s="139"/>
      <c r="T208" s="136"/>
      <c r="U208" s="139"/>
      <c r="V208" s="45"/>
      <c r="W208" s="136"/>
      <c r="X208" s="134"/>
      <c r="Y208" s="166"/>
      <c r="Z208" s="126"/>
      <c r="AA208" s="130"/>
      <c r="AB208" s="126"/>
      <c r="AC208" s="130"/>
      <c r="AD208" s="126"/>
      <c r="AE208" s="130"/>
      <c r="AF208" s="126"/>
      <c r="AG208" s="43"/>
      <c r="AH208" s="44"/>
      <c r="AI208" s="45"/>
      <c r="AJ208" s="46"/>
      <c r="AK208" s="41"/>
      <c r="AL208" s="47"/>
      <c r="AM208" s="48"/>
      <c r="AN208" s="111"/>
      <c r="AO208" s="42"/>
      <c r="AP208" s="42"/>
      <c r="AQ208" s="115"/>
      <c r="AR208" s="75">
        <v>1</v>
      </c>
      <c r="AS208" s="40">
        <f t="shared" si="28"/>
        <v>1</v>
      </c>
      <c r="AT208" s="40"/>
      <c r="AW208" s="42"/>
      <c r="AX208" s="42"/>
      <c r="AY208" s="42"/>
      <c r="AZ208" s="42"/>
      <c r="BA208" s="42"/>
      <c r="BB208" s="42"/>
      <c r="BC208" s="49"/>
      <c r="BD208" s="49"/>
      <c r="BE208" s="49"/>
    </row>
    <row r="209" spans="1:57" ht="26" hidden="1" x14ac:dyDescent="0.35">
      <c r="A209" s="120" t="s">
        <v>2641</v>
      </c>
      <c r="B209" s="120" t="s">
        <v>2060</v>
      </c>
      <c r="C209" s="121" t="s">
        <v>1813</v>
      </c>
      <c r="D209" s="121" t="s">
        <v>131</v>
      </c>
      <c r="E209" s="121">
        <v>0</v>
      </c>
      <c r="F209" s="121" t="s">
        <v>1814</v>
      </c>
      <c r="G209" s="85"/>
      <c r="H209" s="86"/>
      <c r="I209" s="87"/>
      <c r="J209" s="88"/>
      <c r="K209" s="89"/>
      <c r="L209" s="90"/>
      <c r="M209" s="165"/>
      <c r="N209" s="134"/>
      <c r="O209" s="45"/>
      <c r="P209" s="130"/>
      <c r="Q209" s="45"/>
      <c r="R209" s="136"/>
      <c r="S209" s="139"/>
      <c r="T209" s="136"/>
      <c r="U209" s="139"/>
      <c r="V209" s="45"/>
      <c r="W209" s="136"/>
      <c r="X209" s="134"/>
      <c r="Y209" s="166"/>
      <c r="Z209" s="126"/>
      <c r="AA209" s="130"/>
      <c r="AB209" s="126"/>
      <c r="AC209" s="130"/>
      <c r="AD209" s="126"/>
      <c r="AE209" s="130"/>
      <c r="AF209" s="126"/>
      <c r="AG209" s="43"/>
      <c r="AH209" s="44">
        <v>1</v>
      </c>
      <c r="AI209" s="45"/>
      <c r="AJ209" s="46"/>
      <c r="AK209" s="41"/>
      <c r="AL209" s="47"/>
      <c r="AM209" s="48"/>
      <c r="AN209" s="111"/>
      <c r="AO209" s="42"/>
      <c r="AP209" s="42"/>
      <c r="AQ209" s="115"/>
      <c r="AR209" s="75"/>
      <c r="AS209" s="40">
        <f t="shared" si="28"/>
        <v>1</v>
      </c>
      <c r="AT209" s="40"/>
      <c r="AW209" s="42"/>
      <c r="AX209" s="42"/>
      <c r="AY209" s="42"/>
      <c r="AZ209" s="42"/>
      <c r="BA209" s="42"/>
      <c r="BB209" s="42"/>
      <c r="BC209" s="49"/>
      <c r="BD209" s="49"/>
      <c r="BE209" s="49"/>
    </row>
    <row r="210" spans="1:57" ht="26" hidden="1" x14ac:dyDescent="0.35">
      <c r="A210" s="120" t="s">
        <v>2641</v>
      </c>
      <c r="B210" s="120" t="s">
        <v>2060</v>
      </c>
      <c r="C210" s="121" t="s">
        <v>1811</v>
      </c>
      <c r="D210" s="121" t="s">
        <v>131</v>
      </c>
      <c r="E210" s="121">
        <v>1000</v>
      </c>
      <c r="F210" s="121" t="s">
        <v>1812</v>
      </c>
      <c r="G210" s="85"/>
      <c r="H210" s="86"/>
      <c r="I210" s="87"/>
      <c r="J210" s="88"/>
      <c r="K210" s="89"/>
      <c r="L210" s="90"/>
      <c r="M210" s="165"/>
      <c r="N210" s="134"/>
      <c r="O210" s="45"/>
      <c r="P210" s="130"/>
      <c r="Q210" s="45"/>
      <c r="R210" s="136"/>
      <c r="S210" s="139"/>
      <c r="T210" s="136"/>
      <c r="U210" s="139"/>
      <c r="V210" s="45"/>
      <c r="W210" s="136"/>
      <c r="X210" s="134"/>
      <c r="Y210" s="166"/>
      <c r="Z210" s="126" t="s">
        <v>12</v>
      </c>
      <c r="AA210" s="130" t="s">
        <v>12</v>
      </c>
      <c r="AB210" s="126"/>
      <c r="AC210" s="130"/>
      <c r="AD210" s="126"/>
      <c r="AE210" s="130"/>
      <c r="AF210" s="126"/>
      <c r="AG210" s="43"/>
      <c r="AH210" s="44"/>
      <c r="AI210" s="45"/>
      <c r="AJ210" s="46"/>
      <c r="AK210" s="41">
        <v>1</v>
      </c>
      <c r="AL210" s="47"/>
      <c r="AM210" s="48"/>
      <c r="AN210" s="111"/>
      <c r="AO210" s="42"/>
      <c r="AP210" s="42"/>
      <c r="AQ210" s="115"/>
      <c r="AR210" s="75"/>
      <c r="AS210" s="40">
        <f t="shared" si="28"/>
        <v>1</v>
      </c>
      <c r="AT210" s="40"/>
      <c r="AW210" s="42"/>
      <c r="AX210" s="42"/>
      <c r="AY210" s="42"/>
      <c r="AZ210" s="42"/>
      <c r="BA210" s="42"/>
      <c r="BB210" s="42"/>
      <c r="BC210" s="49"/>
      <c r="BD210" s="49"/>
      <c r="BE210" s="49"/>
    </row>
    <row r="211" spans="1:57" ht="39" hidden="1" x14ac:dyDescent="0.35">
      <c r="A211" s="120" t="s">
        <v>2641</v>
      </c>
      <c r="B211" s="120" t="s">
        <v>2060</v>
      </c>
      <c r="C211" s="121" t="s">
        <v>2342</v>
      </c>
      <c r="D211" s="121" t="s">
        <v>131</v>
      </c>
      <c r="E211" s="121">
        <v>1000</v>
      </c>
      <c r="F211" s="121" t="s">
        <v>2343</v>
      </c>
      <c r="G211" s="85">
        <v>1</v>
      </c>
      <c r="H211" s="86"/>
      <c r="I211" s="87"/>
      <c r="J211" s="88"/>
      <c r="K211" s="89"/>
      <c r="L211" s="90"/>
      <c r="M211" s="165"/>
      <c r="N211" s="134"/>
      <c r="O211" s="45"/>
      <c r="P211" s="130"/>
      <c r="Q211" s="45"/>
      <c r="R211" s="136"/>
      <c r="S211" s="139"/>
      <c r="T211" s="136"/>
      <c r="U211" s="139"/>
      <c r="V211" s="45"/>
      <c r="W211" s="136"/>
      <c r="X211" s="134"/>
      <c r="Y211" s="166"/>
      <c r="Z211" s="126"/>
      <c r="AA211" s="130"/>
      <c r="AB211" s="126"/>
      <c r="AC211" s="130"/>
      <c r="AD211" s="126" t="s">
        <v>12</v>
      </c>
      <c r="AE211" s="130"/>
      <c r="AF211" s="126"/>
      <c r="AG211" s="43">
        <v>1</v>
      </c>
      <c r="AH211" s="44"/>
      <c r="AI211" s="45"/>
      <c r="AJ211" s="46"/>
      <c r="AK211" s="41"/>
      <c r="AL211" s="47"/>
      <c r="AM211" s="48"/>
      <c r="AN211" s="111"/>
      <c r="AO211" s="42"/>
      <c r="AP211" s="42"/>
      <c r="AQ211" s="115"/>
      <c r="AR211" s="75"/>
      <c r="AS211" s="40">
        <f t="shared" si="28"/>
        <v>1</v>
      </c>
      <c r="AT211" s="40"/>
      <c r="AW211" s="42"/>
      <c r="AX211" s="42"/>
      <c r="AY211" s="42"/>
      <c r="AZ211" s="42"/>
      <c r="BA211" s="42"/>
      <c r="BB211" s="42"/>
      <c r="BC211" s="49"/>
      <c r="BD211" s="49"/>
      <c r="BE211" s="49"/>
    </row>
    <row r="212" spans="1:57" ht="26" hidden="1" x14ac:dyDescent="0.35">
      <c r="A212" s="120" t="s">
        <v>2641</v>
      </c>
      <c r="B212" s="120" t="s">
        <v>2060</v>
      </c>
      <c r="C212" s="121" t="s">
        <v>1820</v>
      </c>
      <c r="D212" s="121" t="s">
        <v>131</v>
      </c>
      <c r="E212" s="121">
        <v>600</v>
      </c>
      <c r="F212" s="121" t="s">
        <v>2344</v>
      </c>
      <c r="G212" s="85"/>
      <c r="H212" s="86"/>
      <c r="I212" s="87">
        <v>1</v>
      </c>
      <c r="J212" s="88"/>
      <c r="K212" s="89"/>
      <c r="L212" s="90"/>
      <c r="M212" s="165"/>
      <c r="N212" s="134"/>
      <c r="O212" s="45"/>
      <c r="P212" s="130"/>
      <c r="Q212" s="45"/>
      <c r="R212" s="136"/>
      <c r="S212" s="139"/>
      <c r="T212" s="136"/>
      <c r="U212" s="139"/>
      <c r="V212" s="45"/>
      <c r="W212" s="136"/>
      <c r="X212" s="134"/>
      <c r="Y212" s="166"/>
      <c r="Z212" s="126"/>
      <c r="AA212" s="130"/>
      <c r="AB212" s="126"/>
      <c r="AC212" s="130"/>
      <c r="AD212" s="126"/>
      <c r="AE212" s="130"/>
      <c r="AF212" s="126"/>
      <c r="AG212" s="43">
        <v>1</v>
      </c>
      <c r="AH212" s="44"/>
      <c r="AI212" s="45"/>
      <c r="AJ212" s="46"/>
      <c r="AK212" s="41"/>
      <c r="AL212" s="47"/>
      <c r="AM212" s="48"/>
      <c r="AN212" s="111"/>
      <c r="AO212" s="42"/>
      <c r="AP212" s="42"/>
      <c r="AQ212" s="115"/>
      <c r="AR212" s="75"/>
      <c r="AS212" s="40">
        <f t="shared" si="28"/>
        <v>1</v>
      </c>
      <c r="AT212" s="40"/>
      <c r="AW212" s="42"/>
      <c r="AX212" s="42"/>
      <c r="AY212" s="42"/>
      <c r="AZ212" s="42"/>
      <c r="BA212" s="42"/>
      <c r="BB212" s="42"/>
      <c r="BC212" s="49"/>
      <c r="BD212" s="49"/>
      <c r="BE212" s="49"/>
    </row>
    <row r="213" spans="1:57" ht="26" hidden="1" x14ac:dyDescent="0.35">
      <c r="A213" s="120" t="s">
        <v>2641</v>
      </c>
      <c r="B213" s="120" t="s">
        <v>2060</v>
      </c>
      <c r="C213" s="121" t="s">
        <v>1823</v>
      </c>
      <c r="D213" s="121" t="s">
        <v>131</v>
      </c>
      <c r="E213" s="121">
        <v>1200</v>
      </c>
      <c r="F213" s="121" t="s">
        <v>1824</v>
      </c>
      <c r="G213" s="85">
        <v>1</v>
      </c>
      <c r="H213" s="86"/>
      <c r="I213" s="87">
        <v>1</v>
      </c>
      <c r="J213" s="88"/>
      <c r="K213" s="89"/>
      <c r="L213" s="90"/>
      <c r="M213" s="165"/>
      <c r="N213" s="134"/>
      <c r="O213" s="45"/>
      <c r="P213" s="130"/>
      <c r="Q213" s="45"/>
      <c r="R213" s="136"/>
      <c r="S213" s="139"/>
      <c r="T213" s="136"/>
      <c r="U213" s="139"/>
      <c r="V213" s="45"/>
      <c r="W213" s="136"/>
      <c r="X213" s="134"/>
      <c r="Y213" s="166"/>
      <c r="Z213" s="126"/>
      <c r="AA213" s="130"/>
      <c r="AB213" s="126"/>
      <c r="AC213" s="130"/>
      <c r="AD213" s="126" t="s">
        <v>12</v>
      </c>
      <c r="AE213" s="130" t="s">
        <v>12</v>
      </c>
      <c r="AF213" s="126"/>
      <c r="AG213" s="43"/>
      <c r="AH213" s="44"/>
      <c r="AI213" s="45">
        <v>1</v>
      </c>
      <c r="AJ213" s="46"/>
      <c r="AK213" s="41"/>
      <c r="AL213" s="47"/>
      <c r="AM213" s="48"/>
      <c r="AN213" s="111"/>
      <c r="AO213" s="42"/>
      <c r="AP213" s="42"/>
      <c r="AQ213" s="115"/>
      <c r="AR213" s="75"/>
      <c r="AS213" s="40">
        <f t="shared" si="28"/>
        <v>1</v>
      </c>
      <c r="AT213" s="40"/>
      <c r="AW213" s="42"/>
      <c r="AX213" s="42"/>
      <c r="AY213" s="42"/>
      <c r="AZ213" s="42"/>
      <c r="BA213" s="42"/>
      <c r="BB213" s="42"/>
      <c r="BC213" s="49"/>
      <c r="BD213" s="49"/>
      <c r="BE213" s="49"/>
    </row>
    <row r="214" spans="1:57" ht="39" hidden="1" x14ac:dyDescent="0.35">
      <c r="A214" s="120" t="s">
        <v>2641</v>
      </c>
      <c r="B214" s="120" t="s">
        <v>2060</v>
      </c>
      <c r="C214" s="121" t="s">
        <v>1825</v>
      </c>
      <c r="D214" s="121" t="s">
        <v>131</v>
      </c>
      <c r="E214" s="121">
        <v>0</v>
      </c>
      <c r="F214" s="121" t="s">
        <v>2620</v>
      </c>
      <c r="G214" s="85"/>
      <c r="H214" s="86"/>
      <c r="I214" s="87"/>
      <c r="J214" s="88"/>
      <c r="K214" s="89"/>
      <c r="L214" s="90"/>
      <c r="M214" s="165"/>
      <c r="N214" s="134"/>
      <c r="O214" s="45"/>
      <c r="P214" s="130"/>
      <c r="Q214" s="45"/>
      <c r="R214" s="136"/>
      <c r="S214" s="139"/>
      <c r="T214" s="136"/>
      <c r="U214" s="139"/>
      <c r="V214" s="45"/>
      <c r="W214" s="136"/>
      <c r="X214" s="134"/>
      <c r="Y214" s="166"/>
      <c r="Z214" s="126"/>
      <c r="AA214" s="130"/>
      <c r="AB214" s="126"/>
      <c r="AC214" s="130"/>
      <c r="AD214" s="126"/>
      <c r="AE214" s="130"/>
      <c r="AF214" s="126"/>
      <c r="AG214" s="43"/>
      <c r="AH214" s="44"/>
      <c r="AI214" s="45">
        <v>1</v>
      </c>
      <c r="AJ214" s="46"/>
      <c r="AK214" s="41"/>
      <c r="AL214" s="47"/>
      <c r="AM214" s="48"/>
      <c r="AN214" s="111"/>
      <c r="AO214" s="42"/>
      <c r="AP214" s="42"/>
      <c r="AQ214" s="115"/>
      <c r="AR214" s="75"/>
      <c r="AS214" s="40">
        <f t="shared" si="28"/>
        <v>1</v>
      </c>
      <c r="AT214" s="40"/>
      <c r="AW214" s="42"/>
      <c r="AX214" s="42"/>
      <c r="AY214" s="42"/>
      <c r="AZ214" s="42"/>
      <c r="BA214" s="42"/>
      <c r="BB214" s="42"/>
      <c r="BC214" s="49"/>
      <c r="BD214" s="49"/>
      <c r="BE214" s="49"/>
    </row>
    <row r="215" spans="1:57" ht="26" hidden="1" x14ac:dyDescent="0.35">
      <c r="A215" s="120" t="s">
        <v>2641</v>
      </c>
      <c r="B215" s="120" t="s">
        <v>2060</v>
      </c>
      <c r="C215" s="121" t="s">
        <v>1815</v>
      </c>
      <c r="D215" s="121" t="s">
        <v>131</v>
      </c>
      <c r="E215" s="121">
        <v>0</v>
      </c>
      <c r="F215" s="121" t="s">
        <v>1834</v>
      </c>
      <c r="G215" s="85"/>
      <c r="H215" s="86"/>
      <c r="I215" s="87"/>
      <c r="J215" s="88"/>
      <c r="K215" s="89"/>
      <c r="L215" s="90"/>
      <c r="M215" s="165"/>
      <c r="N215" s="134"/>
      <c r="O215" s="45"/>
      <c r="P215" s="130"/>
      <c r="Q215" s="45"/>
      <c r="R215" s="136"/>
      <c r="S215" s="139"/>
      <c r="T215" s="136"/>
      <c r="U215" s="139"/>
      <c r="V215" s="45"/>
      <c r="W215" s="136"/>
      <c r="X215" s="134"/>
      <c r="Y215" s="166"/>
      <c r="Z215" s="126"/>
      <c r="AA215" s="130"/>
      <c r="AB215" s="126"/>
      <c r="AC215" s="130"/>
      <c r="AD215" s="126"/>
      <c r="AE215" s="130"/>
      <c r="AF215" s="126"/>
      <c r="AG215" s="43"/>
      <c r="AH215" s="44">
        <v>1</v>
      </c>
      <c r="AI215" s="45"/>
      <c r="AJ215" s="46"/>
      <c r="AK215" s="41"/>
      <c r="AL215" s="47"/>
      <c r="AM215" s="48"/>
      <c r="AN215" s="111"/>
      <c r="AO215" s="42"/>
      <c r="AP215" s="42"/>
      <c r="AQ215" s="115"/>
      <c r="AR215" s="75"/>
      <c r="AS215" s="40">
        <f t="shared" si="28"/>
        <v>1</v>
      </c>
      <c r="AT215" s="40"/>
      <c r="AW215" s="42"/>
      <c r="AX215" s="42"/>
      <c r="AY215" s="42"/>
      <c r="AZ215" s="42"/>
      <c r="BA215" s="42"/>
      <c r="BB215" s="42"/>
      <c r="BC215" s="49"/>
      <c r="BD215" s="49"/>
      <c r="BE215" s="49"/>
    </row>
    <row r="216" spans="1:57" ht="26" hidden="1" x14ac:dyDescent="0.35">
      <c r="A216" s="120" t="s">
        <v>2641</v>
      </c>
      <c r="B216" s="120" t="s">
        <v>2060</v>
      </c>
      <c r="C216" s="121" t="s">
        <v>1821</v>
      </c>
      <c r="D216" s="121" t="s">
        <v>131</v>
      </c>
      <c r="E216" s="121">
        <v>600</v>
      </c>
      <c r="F216" s="121" t="s">
        <v>1822</v>
      </c>
      <c r="G216" s="85"/>
      <c r="H216" s="86">
        <v>1</v>
      </c>
      <c r="I216" s="87"/>
      <c r="J216" s="88"/>
      <c r="K216" s="89"/>
      <c r="L216" s="90"/>
      <c r="M216" s="165"/>
      <c r="N216" s="134"/>
      <c r="O216" s="45"/>
      <c r="P216" s="130"/>
      <c r="Q216" s="45"/>
      <c r="R216" s="136"/>
      <c r="S216" s="139"/>
      <c r="T216" s="136"/>
      <c r="U216" s="139"/>
      <c r="V216" s="45"/>
      <c r="W216" s="136"/>
      <c r="X216" s="134"/>
      <c r="Y216" s="166"/>
      <c r="Z216" s="126"/>
      <c r="AA216" s="130"/>
      <c r="AB216" s="126"/>
      <c r="AC216" s="130"/>
      <c r="AD216" s="126"/>
      <c r="AE216" s="130"/>
      <c r="AF216" s="126"/>
      <c r="AG216" s="43">
        <v>1</v>
      </c>
      <c r="AH216" s="44"/>
      <c r="AI216" s="45"/>
      <c r="AJ216" s="46"/>
      <c r="AK216" s="41"/>
      <c r="AL216" s="47"/>
      <c r="AM216" s="48"/>
      <c r="AN216" s="111"/>
      <c r="AO216" s="42"/>
      <c r="AP216" s="42"/>
      <c r="AQ216" s="115"/>
      <c r="AR216" s="75"/>
      <c r="AS216" s="40">
        <f t="shared" si="28"/>
        <v>1</v>
      </c>
      <c r="AT216" s="40"/>
      <c r="AW216" s="42"/>
      <c r="AX216" s="42"/>
      <c r="AY216" s="42"/>
      <c r="AZ216" s="42"/>
      <c r="BA216" s="42"/>
      <c r="BB216" s="42"/>
      <c r="BC216" s="49"/>
      <c r="BD216" s="49"/>
      <c r="BE216" s="49"/>
    </row>
    <row r="217" spans="1:57" ht="26" hidden="1" x14ac:dyDescent="0.35">
      <c r="A217" s="120" t="s">
        <v>2641</v>
      </c>
      <c r="B217" s="120" t="s">
        <v>2060</v>
      </c>
      <c r="C217" s="121" t="s">
        <v>742</v>
      </c>
      <c r="D217" s="121" t="s">
        <v>136</v>
      </c>
      <c r="E217" s="121"/>
      <c r="F217" s="121" t="s">
        <v>2345</v>
      </c>
      <c r="G217" s="85">
        <v>1</v>
      </c>
      <c r="H217" s="86">
        <v>2</v>
      </c>
      <c r="I217" s="87"/>
      <c r="J217" s="88"/>
      <c r="K217" s="89"/>
      <c r="L217" s="90" t="s">
        <v>12</v>
      </c>
      <c r="M217" s="165"/>
      <c r="N217" s="134"/>
      <c r="O217" s="45"/>
      <c r="P217" s="130" t="s">
        <v>12</v>
      </c>
      <c r="Q217" s="45"/>
      <c r="R217" s="136"/>
      <c r="S217" s="139"/>
      <c r="T217" s="136"/>
      <c r="U217" s="139" t="s">
        <v>12</v>
      </c>
      <c r="V217" s="45"/>
      <c r="W217" s="136"/>
      <c r="X217" s="134"/>
      <c r="Y217" s="166"/>
      <c r="Z217" s="126"/>
      <c r="AA217" s="130"/>
      <c r="AB217" s="126"/>
      <c r="AC217" s="130"/>
      <c r="AD217" s="126"/>
      <c r="AE217" s="130"/>
      <c r="AF217" s="126"/>
      <c r="AG217" s="43"/>
      <c r="AH217" s="44"/>
      <c r="AI217" s="45"/>
      <c r="AJ217" s="46"/>
      <c r="AK217" s="41"/>
      <c r="AL217" s="47"/>
      <c r="AM217" s="48"/>
      <c r="AN217" s="111"/>
      <c r="AO217" s="42"/>
      <c r="AP217" s="42"/>
      <c r="AQ217" s="115"/>
      <c r="AR217" s="75">
        <v>1</v>
      </c>
      <c r="AS217" s="40">
        <f t="shared" si="28"/>
        <v>1</v>
      </c>
      <c r="AT217" s="40"/>
      <c r="AW217" s="42"/>
      <c r="AX217" s="42"/>
      <c r="AY217" s="42"/>
      <c r="AZ217" s="42"/>
      <c r="BA217" s="42"/>
      <c r="BB217" s="42"/>
      <c r="BC217" s="49"/>
      <c r="BD217" s="49"/>
      <c r="BE217" s="49"/>
    </row>
    <row r="218" spans="1:57" ht="26" hidden="1" x14ac:dyDescent="0.35">
      <c r="A218" s="120" t="s">
        <v>2641</v>
      </c>
      <c r="B218" s="120" t="s">
        <v>2060</v>
      </c>
      <c r="C218" s="121" t="s">
        <v>741</v>
      </c>
      <c r="D218" s="121" t="s">
        <v>136</v>
      </c>
      <c r="E218" s="121"/>
      <c r="F218" s="121" t="s">
        <v>1797</v>
      </c>
      <c r="G218" s="85">
        <v>1</v>
      </c>
      <c r="H218" s="86">
        <v>1</v>
      </c>
      <c r="I218" s="87">
        <v>1</v>
      </c>
      <c r="J218" s="88" t="s">
        <v>12</v>
      </c>
      <c r="K218" s="89"/>
      <c r="L218" s="90"/>
      <c r="M218" s="165"/>
      <c r="N218" s="134"/>
      <c r="O218" s="45"/>
      <c r="P218" s="130"/>
      <c r="Q218" s="45"/>
      <c r="R218" s="136"/>
      <c r="S218" s="139" t="s">
        <v>12</v>
      </c>
      <c r="T218" s="136"/>
      <c r="U218" s="139"/>
      <c r="V218" s="45" t="s">
        <v>12</v>
      </c>
      <c r="W218" s="136"/>
      <c r="X218" s="134"/>
      <c r="Y218" s="166"/>
      <c r="Z218" s="126"/>
      <c r="AA218" s="130"/>
      <c r="AB218" s="126"/>
      <c r="AC218" s="130"/>
      <c r="AD218" s="126"/>
      <c r="AE218" s="130"/>
      <c r="AF218" s="126"/>
      <c r="AG218" s="43"/>
      <c r="AH218" s="44"/>
      <c r="AI218" s="45"/>
      <c r="AJ218" s="46"/>
      <c r="AK218" s="41"/>
      <c r="AL218" s="47"/>
      <c r="AM218" s="48"/>
      <c r="AN218" s="111"/>
      <c r="AO218" s="42"/>
      <c r="AP218" s="42"/>
      <c r="AQ218" s="115"/>
      <c r="AR218" s="75">
        <v>1</v>
      </c>
      <c r="AS218" s="40">
        <f t="shared" si="28"/>
        <v>1</v>
      </c>
      <c r="AT218" s="40"/>
      <c r="AW218" s="42"/>
      <c r="AX218" s="42"/>
      <c r="AY218" s="42"/>
      <c r="AZ218" s="42"/>
      <c r="BA218" s="42"/>
      <c r="BB218" s="42"/>
      <c r="BC218" s="49"/>
      <c r="BD218" s="49"/>
      <c r="BE218" s="49"/>
    </row>
    <row r="219" spans="1:57" ht="26" hidden="1" x14ac:dyDescent="0.35">
      <c r="A219" s="120" t="s">
        <v>2641</v>
      </c>
      <c r="B219" s="120" t="s">
        <v>2060</v>
      </c>
      <c r="C219" s="121" t="s">
        <v>1798</v>
      </c>
      <c r="D219" s="121" t="s">
        <v>136</v>
      </c>
      <c r="E219" s="121"/>
      <c r="F219" s="121" t="s">
        <v>2346</v>
      </c>
      <c r="G219" s="85"/>
      <c r="H219" s="86"/>
      <c r="I219" s="87">
        <v>3</v>
      </c>
      <c r="J219" s="88"/>
      <c r="K219" s="89"/>
      <c r="L219" s="90"/>
      <c r="M219" s="165"/>
      <c r="N219" s="134"/>
      <c r="O219" s="45"/>
      <c r="P219" s="130" t="s">
        <v>12</v>
      </c>
      <c r="Q219" s="45"/>
      <c r="R219" s="136"/>
      <c r="S219" s="139"/>
      <c r="T219" s="136"/>
      <c r="U219" s="139"/>
      <c r="V219" s="45"/>
      <c r="W219" s="136"/>
      <c r="X219" s="134"/>
      <c r="Y219" s="166"/>
      <c r="Z219" s="126"/>
      <c r="AA219" s="130"/>
      <c r="AB219" s="126"/>
      <c r="AC219" s="130"/>
      <c r="AD219" s="126"/>
      <c r="AE219" s="130"/>
      <c r="AF219" s="126"/>
      <c r="AG219" s="43"/>
      <c r="AH219" s="44"/>
      <c r="AI219" s="45"/>
      <c r="AJ219" s="46"/>
      <c r="AK219" s="41"/>
      <c r="AL219" s="47"/>
      <c r="AM219" s="48"/>
      <c r="AN219" s="111"/>
      <c r="AO219" s="42"/>
      <c r="AP219" s="42"/>
      <c r="AQ219" s="115"/>
      <c r="AR219" s="75">
        <v>1</v>
      </c>
      <c r="AS219" s="40">
        <f t="shared" si="28"/>
        <v>1</v>
      </c>
      <c r="AT219" s="40"/>
      <c r="AW219" s="42"/>
      <c r="AX219" s="42"/>
      <c r="AY219" s="42"/>
      <c r="AZ219" s="42"/>
      <c r="BA219" s="42"/>
      <c r="BB219" s="42"/>
      <c r="BC219" s="49"/>
      <c r="BD219" s="49"/>
      <c r="BE219" s="49"/>
    </row>
    <row r="220" spans="1:57" ht="39" hidden="1" x14ac:dyDescent="0.35">
      <c r="A220" s="120" t="s">
        <v>2641</v>
      </c>
      <c r="B220" s="120" t="s">
        <v>2060</v>
      </c>
      <c r="C220" s="121" t="s">
        <v>2349</v>
      </c>
      <c r="D220" s="121" t="s">
        <v>2347</v>
      </c>
      <c r="E220" s="121"/>
      <c r="F220" s="121" t="s">
        <v>2351</v>
      </c>
      <c r="G220" s="85"/>
      <c r="H220" s="86"/>
      <c r="I220" s="87"/>
      <c r="J220" s="88"/>
      <c r="K220" s="89"/>
      <c r="L220" s="90"/>
      <c r="M220" s="165"/>
      <c r="N220" s="134"/>
      <c r="O220" s="45"/>
      <c r="P220" s="130"/>
      <c r="Q220" s="45"/>
      <c r="R220" s="136"/>
      <c r="S220" s="139"/>
      <c r="T220" s="136"/>
      <c r="U220" s="139"/>
      <c r="V220" s="45"/>
      <c r="W220" s="136"/>
      <c r="X220" s="134"/>
      <c r="Y220" s="166"/>
      <c r="Z220" s="126"/>
      <c r="AA220" s="130"/>
      <c r="AB220" s="126"/>
      <c r="AC220" s="130"/>
      <c r="AD220" s="126"/>
      <c r="AE220" s="130"/>
      <c r="AF220" s="126"/>
      <c r="AG220" s="43"/>
      <c r="AH220" s="44"/>
      <c r="AI220" s="45"/>
      <c r="AJ220" s="46"/>
      <c r="AK220" s="41"/>
      <c r="AL220" s="47"/>
      <c r="AM220" s="48"/>
      <c r="AN220" s="111"/>
      <c r="AO220" s="42"/>
      <c r="AP220" s="42"/>
      <c r="AQ220" s="115">
        <v>1</v>
      </c>
      <c r="AR220" s="75"/>
      <c r="AS220" s="40">
        <f t="shared" si="28"/>
        <v>1</v>
      </c>
      <c r="AT220" s="40"/>
      <c r="AW220" s="42"/>
      <c r="AX220" s="42"/>
      <c r="AY220" s="42"/>
      <c r="AZ220" s="42"/>
      <c r="BA220" s="42"/>
      <c r="BB220" s="42"/>
      <c r="BC220" s="49"/>
      <c r="BD220" s="49"/>
      <c r="BE220" s="49"/>
    </row>
    <row r="221" spans="1:57" ht="26" hidden="1" x14ac:dyDescent="0.35">
      <c r="A221" s="120" t="s">
        <v>2641</v>
      </c>
      <c r="B221" s="120" t="s">
        <v>2060</v>
      </c>
      <c r="C221" s="121" t="s">
        <v>1769</v>
      </c>
      <c r="D221" s="121" t="s">
        <v>2347</v>
      </c>
      <c r="E221" s="121"/>
      <c r="F221" s="121" t="s">
        <v>2350</v>
      </c>
      <c r="G221" s="85"/>
      <c r="H221" s="86"/>
      <c r="I221" s="87"/>
      <c r="J221" s="88"/>
      <c r="K221" s="89"/>
      <c r="L221" s="90"/>
      <c r="M221" s="165"/>
      <c r="N221" s="134"/>
      <c r="O221" s="45"/>
      <c r="P221" s="130"/>
      <c r="Q221" s="45"/>
      <c r="R221" s="136"/>
      <c r="S221" s="139"/>
      <c r="T221" s="136"/>
      <c r="U221" s="139"/>
      <c r="V221" s="45"/>
      <c r="W221" s="136"/>
      <c r="X221" s="134"/>
      <c r="Y221" s="166"/>
      <c r="Z221" s="126"/>
      <c r="AA221" s="130"/>
      <c r="AB221" s="126"/>
      <c r="AC221" s="130"/>
      <c r="AD221" s="126"/>
      <c r="AE221" s="130"/>
      <c r="AF221" s="126"/>
      <c r="AG221" s="43"/>
      <c r="AH221" s="44"/>
      <c r="AI221" s="45"/>
      <c r="AJ221" s="46"/>
      <c r="AK221" s="41"/>
      <c r="AL221" s="47"/>
      <c r="AM221" s="48"/>
      <c r="AN221" s="111"/>
      <c r="AO221" s="42"/>
      <c r="AP221" s="42"/>
      <c r="AQ221" s="115">
        <v>1</v>
      </c>
      <c r="AR221" s="75"/>
      <c r="AS221" s="40">
        <f t="shared" si="28"/>
        <v>1</v>
      </c>
      <c r="AT221" s="40"/>
      <c r="AW221" s="42"/>
      <c r="AX221" s="42"/>
      <c r="AY221" s="42"/>
      <c r="AZ221" s="42"/>
      <c r="BA221" s="42"/>
      <c r="BB221" s="42"/>
      <c r="BC221" s="49"/>
      <c r="BD221" s="49"/>
      <c r="BE221" s="49"/>
    </row>
    <row r="222" spans="1:57" ht="26" hidden="1" x14ac:dyDescent="0.35">
      <c r="A222" s="120" t="s">
        <v>2641</v>
      </c>
      <c r="B222" s="120" t="s">
        <v>2060</v>
      </c>
      <c r="C222" s="121" t="s">
        <v>2352</v>
      </c>
      <c r="D222" s="121" t="s">
        <v>2347</v>
      </c>
      <c r="E222" s="121"/>
      <c r="F222" s="121" t="s">
        <v>2353</v>
      </c>
      <c r="G222" s="85"/>
      <c r="H222" s="86"/>
      <c r="I222" s="87"/>
      <c r="J222" s="88"/>
      <c r="K222" s="89"/>
      <c r="L222" s="90"/>
      <c r="M222" s="165"/>
      <c r="N222" s="134"/>
      <c r="O222" s="45"/>
      <c r="P222" s="130"/>
      <c r="Q222" s="45"/>
      <c r="R222" s="136"/>
      <c r="S222" s="139"/>
      <c r="T222" s="136"/>
      <c r="U222" s="139"/>
      <c r="V222" s="45"/>
      <c r="W222" s="136"/>
      <c r="X222" s="134"/>
      <c r="Y222" s="166"/>
      <c r="Z222" s="126"/>
      <c r="AA222" s="130"/>
      <c r="AB222" s="126"/>
      <c r="AC222" s="130"/>
      <c r="AD222" s="126"/>
      <c r="AE222" s="130"/>
      <c r="AF222" s="126"/>
      <c r="AG222" s="43"/>
      <c r="AH222" s="44"/>
      <c r="AI222" s="45"/>
      <c r="AJ222" s="46"/>
      <c r="AK222" s="41"/>
      <c r="AL222" s="47"/>
      <c r="AM222" s="48"/>
      <c r="AN222" s="111"/>
      <c r="AO222" s="42"/>
      <c r="AP222" s="42"/>
      <c r="AQ222" s="115">
        <v>1</v>
      </c>
      <c r="AR222" s="75"/>
      <c r="AS222" s="40">
        <f t="shared" si="28"/>
        <v>1</v>
      </c>
      <c r="AT222" s="40"/>
      <c r="AW222" s="42"/>
      <c r="AX222" s="42"/>
      <c r="AY222" s="42"/>
      <c r="AZ222" s="42"/>
      <c r="BA222" s="42"/>
      <c r="BB222" s="42"/>
      <c r="BC222" s="49"/>
      <c r="BD222" s="49"/>
      <c r="BE222" s="49"/>
    </row>
    <row r="223" spans="1:57" ht="52" hidden="1" x14ac:dyDescent="0.35">
      <c r="A223" s="120" t="s">
        <v>2641</v>
      </c>
      <c r="B223" s="120" t="s">
        <v>2060</v>
      </c>
      <c r="C223" s="121" t="s">
        <v>2354</v>
      </c>
      <c r="D223" s="121" t="s">
        <v>2347</v>
      </c>
      <c r="E223" s="121"/>
      <c r="F223" s="121" t="s">
        <v>2355</v>
      </c>
      <c r="G223" s="85"/>
      <c r="H223" s="86"/>
      <c r="I223" s="87"/>
      <c r="J223" s="88"/>
      <c r="K223" s="89"/>
      <c r="L223" s="90"/>
      <c r="M223" s="165"/>
      <c r="N223" s="134"/>
      <c r="O223" s="45"/>
      <c r="P223" s="130"/>
      <c r="Q223" s="45"/>
      <c r="R223" s="136"/>
      <c r="S223" s="139"/>
      <c r="T223" s="136"/>
      <c r="U223" s="139"/>
      <c r="V223" s="45"/>
      <c r="W223" s="136"/>
      <c r="X223" s="134"/>
      <c r="Y223" s="166"/>
      <c r="Z223" s="126"/>
      <c r="AA223" s="130"/>
      <c r="AB223" s="126"/>
      <c r="AC223" s="130"/>
      <c r="AD223" s="126"/>
      <c r="AE223" s="130"/>
      <c r="AF223" s="126"/>
      <c r="AG223" s="43"/>
      <c r="AH223" s="44"/>
      <c r="AI223" s="45"/>
      <c r="AJ223" s="46"/>
      <c r="AK223" s="41"/>
      <c r="AL223" s="47"/>
      <c r="AM223" s="48"/>
      <c r="AN223" s="111"/>
      <c r="AO223" s="42"/>
      <c r="AP223" s="42"/>
      <c r="AQ223" s="115">
        <v>1</v>
      </c>
      <c r="AR223" s="75"/>
      <c r="AS223" s="40">
        <f t="shared" si="28"/>
        <v>1</v>
      </c>
      <c r="AT223" s="40"/>
      <c r="AW223" s="42"/>
      <c r="AX223" s="42"/>
      <c r="AY223" s="42"/>
      <c r="AZ223" s="42"/>
      <c r="BA223" s="42"/>
      <c r="BB223" s="42"/>
      <c r="BC223" s="49"/>
      <c r="BD223" s="49"/>
      <c r="BE223" s="49"/>
    </row>
    <row r="224" spans="1:57" ht="39" hidden="1" x14ac:dyDescent="0.35">
      <c r="A224" s="120" t="s">
        <v>2641</v>
      </c>
      <c r="B224" s="120" t="s">
        <v>2060</v>
      </c>
      <c r="C224" s="121" t="s">
        <v>2356</v>
      </c>
      <c r="D224" s="121" t="s">
        <v>2347</v>
      </c>
      <c r="E224" s="121"/>
      <c r="F224" s="121" t="s">
        <v>2357</v>
      </c>
      <c r="G224" s="85"/>
      <c r="H224" s="86"/>
      <c r="I224" s="87"/>
      <c r="J224" s="88"/>
      <c r="K224" s="89"/>
      <c r="L224" s="90"/>
      <c r="M224" s="165"/>
      <c r="N224" s="134"/>
      <c r="O224" s="45"/>
      <c r="P224" s="130"/>
      <c r="Q224" s="45"/>
      <c r="R224" s="136"/>
      <c r="S224" s="139"/>
      <c r="T224" s="136"/>
      <c r="U224" s="139"/>
      <c r="V224" s="45"/>
      <c r="W224" s="136"/>
      <c r="X224" s="134"/>
      <c r="Y224" s="166"/>
      <c r="Z224" s="126"/>
      <c r="AA224" s="130"/>
      <c r="AB224" s="126"/>
      <c r="AC224" s="130"/>
      <c r="AD224" s="126"/>
      <c r="AE224" s="130"/>
      <c r="AF224" s="126"/>
      <c r="AG224" s="43"/>
      <c r="AH224" s="44"/>
      <c r="AI224" s="45"/>
      <c r="AJ224" s="46"/>
      <c r="AK224" s="41"/>
      <c r="AL224" s="47"/>
      <c r="AM224" s="48"/>
      <c r="AN224" s="111"/>
      <c r="AO224" s="42"/>
      <c r="AP224" s="42"/>
      <c r="AQ224" s="115">
        <v>1</v>
      </c>
      <c r="AR224" s="75"/>
      <c r="AS224" s="40">
        <f t="shared" si="28"/>
        <v>1</v>
      </c>
      <c r="AT224" s="40"/>
      <c r="AW224" s="42"/>
      <c r="AX224" s="42"/>
      <c r="AY224" s="42"/>
      <c r="AZ224" s="42"/>
      <c r="BA224" s="42"/>
      <c r="BB224" s="42"/>
      <c r="BC224" s="49"/>
      <c r="BD224" s="49"/>
      <c r="BE224" s="49"/>
    </row>
    <row r="225" spans="1:62" ht="26" hidden="1" x14ac:dyDescent="0.35">
      <c r="A225" s="120" t="s">
        <v>2641</v>
      </c>
      <c r="B225" s="120" t="s">
        <v>2060</v>
      </c>
      <c r="C225" s="121" t="s">
        <v>1423</v>
      </c>
      <c r="D225" s="121" t="s">
        <v>5</v>
      </c>
      <c r="E225" s="121">
        <v>400</v>
      </c>
      <c r="F225" s="121" t="s">
        <v>1866</v>
      </c>
      <c r="G225" s="85"/>
      <c r="H225" s="86"/>
      <c r="I225" s="87"/>
      <c r="J225" s="88"/>
      <c r="K225" s="89"/>
      <c r="L225" s="90"/>
      <c r="M225" s="165"/>
      <c r="N225" s="134"/>
      <c r="O225" s="45"/>
      <c r="P225" s="130"/>
      <c r="Q225" s="45"/>
      <c r="R225" s="136"/>
      <c r="S225" s="139"/>
      <c r="T225" s="136"/>
      <c r="U225" s="139"/>
      <c r="V225" s="45"/>
      <c r="W225" s="136"/>
      <c r="X225" s="134"/>
      <c r="Y225" s="166"/>
      <c r="Z225" s="126"/>
      <c r="AA225" s="130"/>
      <c r="AB225" s="126"/>
      <c r="AC225" s="130"/>
      <c r="AD225" s="126"/>
      <c r="AE225" s="130"/>
      <c r="AF225" s="126"/>
      <c r="AG225" s="43"/>
      <c r="AH225" s="44"/>
      <c r="AI225" s="45"/>
      <c r="AJ225" s="46"/>
      <c r="AK225" s="41">
        <v>1</v>
      </c>
      <c r="AL225" s="47"/>
      <c r="AM225" s="48"/>
      <c r="AN225" s="111"/>
      <c r="AO225" s="42"/>
      <c r="AP225" s="42"/>
      <c r="AQ225" s="115"/>
      <c r="AR225" s="75"/>
      <c r="AS225" s="40">
        <f t="shared" si="28"/>
        <v>1</v>
      </c>
      <c r="AT225" s="40"/>
      <c r="AW225" s="42"/>
      <c r="AX225" s="42"/>
      <c r="AY225" s="42"/>
      <c r="AZ225" s="42"/>
      <c r="BA225" s="42"/>
      <c r="BB225" s="42"/>
      <c r="BC225" s="49"/>
      <c r="BD225" s="49"/>
      <c r="BE225" s="49"/>
      <c r="BH225" s="31" t="s">
        <v>2262</v>
      </c>
      <c r="BI225" s="31" t="s">
        <v>2248</v>
      </c>
      <c r="BJ225" s="31" t="s">
        <v>12</v>
      </c>
    </row>
    <row r="226" spans="1:62" ht="26" hidden="1" x14ac:dyDescent="0.35">
      <c r="A226" s="120" t="s">
        <v>2641</v>
      </c>
      <c r="B226" s="120" t="s">
        <v>2060</v>
      </c>
      <c r="C226" s="121" t="s">
        <v>1424</v>
      </c>
      <c r="D226" s="121" t="s">
        <v>5</v>
      </c>
      <c r="E226" s="121">
        <v>400</v>
      </c>
      <c r="F226" s="121" t="s">
        <v>1425</v>
      </c>
      <c r="G226" s="85"/>
      <c r="H226" s="86"/>
      <c r="I226" s="87"/>
      <c r="J226" s="88"/>
      <c r="K226" s="89"/>
      <c r="L226" s="90"/>
      <c r="M226" s="165"/>
      <c r="N226" s="134"/>
      <c r="O226" s="45"/>
      <c r="P226" s="130"/>
      <c r="Q226" s="45"/>
      <c r="R226" s="136"/>
      <c r="S226" s="139"/>
      <c r="T226" s="136"/>
      <c r="U226" s="139"/>
      <c r="V226" s="45"/>
      <c r="W226" s="136"/>
      <c r="X226" s="134"/>
      <c r="Y226" s="166"/>
      <c r="Z226" s="126"/>
      <c r="AA226" s="130"/>
      <c r="AB226" s="126"/>
      <c r="AC226" s="130"/>
      <c r="AD226" s="126"/>
      <c r="AE226" s="130"/>
      <c r="AF226" s="126"/>
      <c r="AG226" s="43"/>
      <c r="AH226" s="44"/>
      <c r="AI226" s="45"/>
      <c r="AJ226" s="46"/>
      <c r="AK226" s="41">
        <v>1</v>
      </c>
      <c r="AL226" s="47"/>
      <c r="AM226" s="48"/>
      <c r="AN226" s="111"/>
      <c r="AO226" s="42"/>
      <c r="AP226" s="42"/>
      <c r="AQ226" s="115"/>
      <c r="AR226" s="75"/>
      <c r="AS226" s="40">
        <f t="shared" si="28"/>
        <v>1</v>
      </c>
      <c r="AT226" s="40"/>
      <c r="AW226" s="42"/>
      <c r="AX226" s="42"/>
      <c r="AY226" s="42"/>
      <c r="AZ226" s="42"/>
      <c r="BA226" s="42"/>
      <c r="BB226" s="42"/>
      <c r="BC226" s="49"/>
      <c r="BD226" s="49"/>
      <c r="BE226" s="49"/>
      <c r="BH226" s="31" t="s">
        <v>2262</v>
      </c>
      <c r="BI226" s="31" t="s">
        <v>2248</v>
      </c>
      <c r="BJ226" s="31" t="s">
        <v>12</v>
      </c>
    </row>
    <row r="227" spans="1:62" ht="39" hidden="1" x14ac:dyDescent="0.35">
      <c r="A227" s="120" t="s">
        <v>2641</v>
      </c>
      <c r="B227" s="120" t="s">
        <v>2060</v>
      </c>
      <c r="C227" s="121" t="s">
        <v>2622</v>
      </c>
      <c r="D227" s="121" t="s">
        <v>5</v>
      </c>
      <c r="E227" s="121"/>
      <c r="F227" s="121" t="s">
        <v>2623</v>
      </c>
      <c r="G227" s="85"/>
      <c r="H227" s="86"/>
      <c r="I227" s="87"/>
      <c r="J227" s="88"/>
      <c r="K227" s="89"/>
      <c r="L227" s="90"/>
      <c r="M227" s="165"/>
      <c r="N227" s="134"/>
      <c r="O227" s="45"/>
      <c r="P227" s="130"/>
      <c r="Q227" s="45"/>
      <c r="R227" s="136"/>
      <c r="S227" s="139"/>
      <c r="T227" s="136"/>
      <c r="U227" s="139"/>
      <c r="V227" s="45"/>
      <c r="W227" s="136"/>
      <c r="X227" s="134"/>
      <c r="Y227" s="166"/>
      <c r="Z227" s="126"/>
      <c r="AA227" s="130"/>
      <c r="AB227" s="126"/>
      <c r="AC227" s="130"/>
      <c r="AD227" s="126"/>
      <c r="AE227" s="130"/>
      <c r="AF227" s="126"/>
      <c r="AG227" s="43"/>
      <c r="AH227" s="44"/>
      <c r="AI227" s="45"/>
      <c r="AJ227" s="46"/>
      <c r="AK227" s="41"/>
      <c r="AL227" s="47"/>
      <c r="AM227" s="48"/>
      <c r="AN227" s="111"/>
      <c r="AO227" s="42"/>
      <c r="AP227" s="42"/>
      <c r="AQ227" s="115"/>
      <c r="AR227" s="75">
        <v>1</v>
      </c>
      <c r="AS227" s="40">
        <f t="shared" si="28"/>
        <v>1</v>
      </c>
      <c r="AT227" s="40"/>
      <c r="AW227" s="42"/>
      <c r="AX227" s="42"/>
      <c r="AY227" s="42"/>
      <c r="AZ227" s="42"/>
      <c r="BA227" s="42"/>
      <c r="BB227" s="42"/>
      <c r="BC227" s="49"/>
      <c r="BD227" s="49"/>
      <c r="BE227" s="49"/>
    </row>
    <row r="228" spans="1:62" ht="26" hidden="1" x14ac:dyDescent="0.35">
      <c r="A228" s="120" t="s">
        <v>2641</v>
      </c>
      <c r="B228" s="120" t="s">
        <v>2060</v>
      </c>
      <c r="C228" s="121" t="s">
        <v>1816</v>
      </c>
      <c r="D228" s="121" t="s">
        <v>5</v>
      </c>
      <c r="E228" s="121">
        <v>600</v>
      </c>
      <c r="F228" s="121" t="s">
        <v>1817</v>
      </c>
      <c r="G228" s="85"/>
      <c r="H228" s="86"/>
      <c r="I228" s="87"/>
      <c r="J228" s="88"/>
      <c r="K228" s="89"/>
      <c r="L228" s="90"/>
      <c r="M228" s="165"/>
      <c r="N228" s="134"/>
      <c r="O228" s="45"/>
      <c r="P228" s="130" t="s">
        <v>12</v>
      </c>
      <c r="Q228" s="45"/>
      <c r="R228" s="136"/>
      <c r="S228" s="139"/>
      <c r="T228" s="136"/>
      <c r="U228" s="139"/>
      <c r="V228" s="45"/>
      <c r="W228" s="136"/>
      <c r="X228" s="134"/>
      <c r="Y228" s="166"/>
      <c r="Z228" s="126"/>
      <c r="AA228" s="130"/>
      <c r="AB228" s="126"/>
      <c r="AC228" s="130"/>
      <c r="AD228" s="126"/>
      <c r="AE228" s="130"/>
      <c r="AF228" s="126"/>
      <c r="AG228" s="43"/>
      <c r="AH228" s="44"/>
      <c r="AI228" s="45"/>
      <c r="AJ228" s="46">
        <v>1</v>
      </c>
      <c r="AK228" s="41"/>
      <c r="AL228" s="47"/>
      <c r="AM228" s="48"/>
      <c r="AN228" s="111"/>
      <c r="AO228" s="42"/>
      <c r="AP228" s="42"/>
      <c r="AQ228" s="115"/>
      <c r="AR228" s="75"/>
      <c r="AS228" s="40">
        <f t="shared" si="28"/>
        <v>1</v>
      </c>
      <c r="AT228" s="40"/>
      <c r="AW228" s="42"/>
      <c r="AX228" s="42"/>
      <c r="AY228" s="42"/>
      <c r="AZ228" s="42"/>
      <c r="BA228" s="42"/>
      <c r="BB228" s="42"/>
      <c r="BC228" s="49"/>
      <c r="BD228" s="49"/>
      <c r="BE228" s="49"/>
    </row>
    <row r="229" spans="1:62" ht="26" hidden="1" x14ac:dyDescent="0.35">
      <c r="A229" s="120" t="s">
        <v>2641</v>
      </c>
      <c r="B229" s="120" t="s">
        <v>2060</v>
      </c>
      <c r="C229" s="121" t="s">
        <v>1818</v>
      </c>
      <c r="D229" s="121" t="s">
        <v>5</v>
      </c>
      <c r="E229" s="121">
        <v>1000</v>
      </c>
      <c r="F229" s="121" t="s">
        <v>1836</v>
      </c>
      <c r="G229" s="85"/>
      <c r="H229" s="86"/>
      <c r="I229" s="87"/>
      <c r="J229" s="88"/>
      <c r="K229" s="89"/>
      <c r="L229" s="90"/>
      <c r="M229" s="165"/>
      <c r="N229" s="134"/>
      <c r="O229" s="45"/>
      <c r="P229" s="130"/>
      <c r="Q229" s="45"/>
      <c r="R229" s="136"/>
      <c r="S229" s="139"/>
      <c r="T229" s="136"/>
      <c r="U229" s="139"/>
      <c r="V229" s="45" t="s">
        <v>12</v>
      </c>
      <c r="W229" s="136"/>
      <c r="X229" s="134"/>
      <c r="Y229" s="166"/>
      <c r="Z229" s="126"/>
      <c r="AA229" s="130"/>
      <c r="AB229" s="126"/>
      <c r="AC229" s="130"/>
      <c r="AD229" s="126"/>
      <c r="AE229" s="130"/>
      <c r="AF229" s="126"/>
      <c r="AG229" s="43"/>
      <c r="AH229" s="44"/>
      <c r="AI229" s="45"/>
      <c r="AJ229" s="46">
        <v>1</v>
      </c>
      <c r="AK229" s="41"/>
      <c r="AL229" s="47"/>
      <c r="AM229" s="48"/>
      <c r="AN229" s="111"/>
      <c r="AO229" s="42"/>
      <c r="AP229" s="42"/>
      <c r="AQ229" s="115"/>
      <c r="AR229" s="75"/>
      <c r="AS229" s="40">
        <f t="shared" si="28"/>
        <v>1</v>
      </c>
      <c r="AT229" s="40"/>
      <c r="AW229" s="42"/>
      <c r="AX229" s="42"/>
      <c r="AY229" s="42"/>
      <c r="AZ229" s="42"/>
      <c r="BA229" s="42"/>
      <c r="BB229" s="42"/>
      <c r="BC229" s="49"/>
      <c r="BD229" s="49"/>
      <c r="BE229" s="49"/>
    </row>
    <row r="230" spans="1:62" ht="26" hidden="1" x14ac:dyDescent="0.35">
      <c r="A230" s="120" t="s">
        <v>2641</v>
      </c>
      <c r="B230" s="120" t="s">
        <v>2060</v>
      </c>
      <c r="C230" s="121" t="s">
        <v>1819</v>
      </c>
      <c r="D230" s="121" t="s">
        <v>5</v>
      </c>
      <c r="E230" s="121">
        <v>1000</v>
      </c>
      <c r="F230" s="121" t="s">
        <v>1837</v>
      </c>
      <c r="G230" s="85"/>
      <c r="H230" s="86"/>
      <c r="I230" s="87"/>
      <c r="J230" s="88"/>
      <c r="K230" s="89"/>
      <c r="L230" s="90"/>
      <c r="M230" s="165"/>
      <c r="N230" s="134"/>
      <c r="O230" s="45"/>
      <c r="P230" s="130"/>
      <c r="Q230" s="45"/>
      <c r="R230" s="136" t="s">
        <v>12</v>
      </c>
      <c r="S230" s="139"/>
      <c r="T230" s="136"/>
      <c r="U230" s="139"/>
      <c r="V230" s="45"/>
      <c r="W230" s="136"/>
      <c r="X230" s="134"/>
      <c r="Y230" s="166"/>
      <c r="Z230" s="126"/>
      <c r="AA230" s="130"/>
      <c r="AB230" s="126"/>
      <c r="AC230" s="130"/>
      <c r="AD230" s="126"/>
      <c r="AE230" s="130"/>
      <c r="AF230" s="126"/>
      <c r="AG230" s="43"/>
      <c r="AH230" s="44"/>
      <c r="AI230" s="45"/>
      <c r="AJ230" s="46">
        <v>1</v>
      </c>
      <c r="AK230" s="41"/>
      <c r="AL230" s="47"/>
      <c r="AM230" s="48"/>
      <c r="AN230" s="111"/>
      <c r="AO230" s="42"/>
      <c r="AP230" s="42"/>
      <c r="AQ230" s="115"/>
      <c r="AR230" s="75"/>
      <c r="AS230" s="40">
        <f t="shared" si="28"/>
        <v>1</v>
      </c>
      <c r="AT230" s="40"/>
      <c r="AW230" s="42"/>
      <c r="AX230" s="42"/>
      <c r="AY230" s="42"/>
      <c r="AZ230" s="42"/>
      <c r="BA230" s="42"/>
      <c r="BB230" s="42"/>
      <c r="BC230" s="49"/>
      <c r="BD230" s="49"/>
      <c r="BE230" s="49"/>
    </row>
    <row r="231" spans="1:62" ht="39" hidden="1" x14ac:dyDescent="0.35">
      <c r="A231" s="120" t="s">
        <v>2641</v>
      </c>
      <c r="B231" s="120" t="s">
        <v>2362</v>
      </c>
      <c r="C231" s="121" t="s">
        <v>2359</v>
      </c>
      <c r="D231" s="121" t="s">
        <v>2347</v>
      </c>
      <c r="E231" s="121"/>
      <c r="F231" s="121" t="s">
        <v>2361</v>
      </c>
      <c r="G231" s="85"/>
      <c r="H231" s="86"/>
      <c r="I231" s="87"/>
      <c r="J231" s="88"/>
      <c r="K231" s="89"/>
      <c r="L231" s="90"/>
      <c r="M231" s="165"/>
      <c r="N231" s="134"/>
      <c r="O231" s="45"/>
      <c r="P231" s="130"/>
      <c r="Q231" s="45"/>
      <c r="R231" s="136"/>
      <c r="S231" s="139"/>
      <c r="T231" s="136"/>
      <c r="U231" s="139"/>
      <c r="V231" s="45"/>
      <c r="W231" s="136"/>
      <c r="X231" s="134"/>
      <c r="Y231" s="166"/>
      <c r="Z231" s="126"/>
      <c r="AA231" s="130"/>
      <c r="AB231" s="126"/>
      <c r="AC231" s="130"/>
      <c r="AD231" s="126"/>
      <c r="AE231" s="130"/>
      <c r="AF231" s="126"/>
      <c r="AG231" s="43"/>
      <c r="AH231" s="44"/>
      <c r="AI231" s="45"/>
      <c r="AJ231" s="46"/>
      <c r="AK231" s="41"/>
      <c r="AL231" s="47"/>
      <c r="AM231" s="48"/>
      <c r="AN231" s="111"/>
      <c r="AO231" s="42"/>
      <c r="AP231" s="42"/>
      <c r="AQ231" s="115">
        <v>1</v>
      </c>
      <c r="AR231" s="75"/>
      <c r="AS231" s="40">
        <f t="shared" si="28"/>
        <v>1</v>
      </c>
      <c r="AT231" s="40"/>
      <c r="AW231" s="42"/>
      <c r="AX231" s="42"/>
      <c r="AY231" s="42"/>
      <c r="AZ231" s="42"/>
      <c r="BA231" s="42"/>
      <c r="BB231" s="42"/>
      <c r="BC231" s="49"/>
      <c r="BD231" s="49"/>
      <c r="BE231" s="49"/>
    </row>
    <row r="232" spans="1:62" ht="26" hidden="1" x14ac:dyDescent="0.35">
      <c r="A232" s="120" t="s">
        <v>2641</v>
      </c>
      <c r="B232" s="120" t="s">
        <v>2362</v>
      </c>
      <c r="C232" s="121" t="s">
        <v>2358</v>
      </c>
      <c r="D232" s="121" t="s">
        <v>2347</v>
      </c>
      <c r="E232" s="121"/>
      <c r="F232" s="121" t="s">
        <v>2360</v>
      </c>
      <c r="G232" s="85"/>
      <c r="H232" s="86"/>
      <c r="I232" s="87"/>
      <c r="J232" s="88"/>
      <c r="K232" s="89"/>
      <c r="L232" s="90"/>
      <c r="M232" s="165"/>
      <c r="N232" s="134"/>
      <c r="O232" s="45"/>
      <c r="P232" s="130"/>
      <c r="Q232" s="45"/>
      <c r="R232" s="136"/>
      <c r="S232" s="139"/>
      <c r="T232" s="136"/>
      <c r="U232" s="139"/>
      <c r="V232" s="45"/>
      <c r="W232" s="136"/>
      <c r="X232" s="134"/>
      <c r="Y232" s="166"/>
      <c r="Z232" s="126"/>
      <c r="AA232" s="130"/>
      <c r="AB232" s="126"/>
      <c r="AC232" s="130"/>
      <c r="AD232" s="126"/>
      <c r="AE232" s="130"/>
      <c r="AF232" s="126"/>
      <c r="AG232" s="43"/>
      <c r="AH232" s="44"/>
      <c r="AI232" s="45"/>
      <c r="AJ232" s="46"/>
      <c r="AK232" s="41"/>
      <c r="AL232" s="47"/>
      <c r="AM232" s="48"/>
      <c r="AN232" s="111"/>
      <c r="AO232" s="42"/>
      <c r="AP232" s="42"/>
      <c r="AQ232" s="115">
        <v>1</v>
      </c>
      <c r="AR232" s="75"/>
      <c r="AS232" s="40">
        <f t="shared" si="28"/>
        <v>1</v>
      </c>
      <c r="AT232" s="40"/>
      <c r="AW232" s="42"/>
      <c r="AX232" s="42"/>
      <c r="AY232" s="42"/>
      <c r="AZ232" s="42"/>
      <c r="BA232" s="42"/>
      <c r="BB232" s="42"/>
      <c r="BC232" s="49"/>
      <c r="BD232" s="49"/>
      <c r="BE232" s="49"/>
    </row>
    <row r="233" spans="1:62" ht="26" hidden="1" x14ac:dyDescent="0.35">
      <c r="A233" s="120" t="s">
        <v>2641</v>
      </c>
      <c r="B233" s="120" t="s">
        <v>2362</v>
      </c>
      <c r="C233" s="121" t="s">
        <v>2387</v>
      </c>
      <c r="D233" s="121" t="s">
        <v>5</v>
      </c>
      <c r="E233" s="121"/>
      <c r="F233" s="121" t="s">
        <v>1866</v>
      </c>
      <c r="G233" s="85"/>
      <c r="H233" s="86"/>
      <c r="I233" s="87"/>
      <c r="J233" s="88"/>
      <c r="K233" s="89"/>
      <c r="L233" s="90"/>
      <c r="M233" s="165"/>
      <c r="N233" s="134"/>
      <c r="O233" s="45"/>
      <c r="P233" s="130"/>
      <c r="Q233" s="45"/>
      <c r="R233" s="136"/>
      <c r="S233" s="139"/>
      <c r="T233" s="136"/>
      <c r="U233" s="139"/>
      <c r="V233" s="45"/>
      <c r="W233" s="136"/>
      <c r="X233" s="134"/>
      <c r="Y233" s="166"/>
      <c r="Z233" s="126"/>
      <c r="AA233" s="130"/>
      <c r="AB233" s="126"/>
      <c r="AC233" s="130"/>
      <c r="AD233" s="126"/>
      <c r="AE233" s="130"/>
      <c r="AF233" s="126"/>
      <c r="AG233" s="43"/>
      <c r="AH233" s="44"/>
      <c r="AI233" s="45"/>
      <c r="AJ233" s="46"/>
      <c r="AK233" s="41"/>
      <c r="AL233" s="47"/>
      <c r="AM233" s="48"/>
      <c r="AN233" s="111"/>
      <c r="AO233" s="42"/>
      <c r="AP233" s="42"/>
      <c r="AQ233" s="115"/>
      <c r="AR233" s="75">
        <v>1</v>
      </c>
      <c r="AS233" s="40">
        <f t="shared" si="28"/>
        <v>1</v>
      </c>
      <c r="AT233" s="40"/>
      <c r="AW233" s="42"/>
      <c r="AX233" s="42"/>
      <c r="AY233" s="42"/>
      <c r="AZ233" s="42"/>
      <c r="BA233" s="42"/>
      <c r="BB233" s="42"/>
      <c r="BC233" s="49"/>
      <c r="BD233" s="49"/>
      <c r="BE233" s="49"/>
      <c r="BH233" s="31" t="s">
        <v>2262</v>
      </c>
      <c r="BI233" s="31" t="s">
        <v>2248</v>
      </c>
      <c r="BJ233" s="31" t="s">
        <v>12</v>
      </c>
    </row>
    <row r="234" spans="1:62" ht="26" hidden="1" x14ac:dyDescent="0.35">
      <c r="A234" s="120" t="s">
        <v>2641</v>
      </c>
      <c r="B234" s="120" t="s">
        <v>2362</v>
      </c>
      <c r="C234" s="121" t="s">
        <v>2383</v>
      </c>
      <c r="D234" s="121" t="s">
        <v>5</v>
      </c>
      <c r="E234" s="121"/>
      <c r="F234" s="121" t="s">
        <v>2384</v>
      </c>
      <c r="G234" s="85"/>
      <c r="H234" s="86"/>
      <c r="I234" s="87"/>
      <c r="J234" s="88"/>
      <c r="K234" s="89"/>
      <c r="L234" s="90"/>
      <c r="M234" s="165"/>
      <c r="N234" s="134"/>
      <c r="O234" s="45"/>
      <c r="P234" s="130"/>
      <c r="Q234" s="45"/>
      <c r="R234" s="136"/>
      <c r="S234" s="139"/>
      <c r="T234" s="136"/>
      <c r="U234" s="139"/>
      <c r="V234" s="45"/>
      <c r="W234" s="136"/>
      <c r="X234" s="134"/>
      <c r="Y234" s="166"/>
      <c r="Z234" s="126"/>
      <c r="AA234" s="130"/>
      <c r="AB234" s="126"/>
      <c r="AC234" s="130"/>
      <c r="AD234" s="126"/>
      <c r="AE234" s="130"/>
      <c r="AF234" s="126"/>
      <c r="AG234" s="43"/>
      <c r="AH234" s="44"/>
      <c r="AI234" s="45"/>
      <c r="AJ234" s="46"/>
      <c r="AK234" s="41"/>
      <c r="AL234" s="47"/>
      <c r="AM234" s="48"/>
      <c r="AN234" s="111"/>
      <c r="AO234" s="42"/>
      <c r="AP234" s="42"/>
      <c r="AQ234" s="115"/>
      <c r="AR234" s="75">
        <v>1</v>
      </c>
      <c r="AS234" s="40">
        <f t="shared" si="28"/>
        <v>1</v>
      </c>
      <c r="AT234" s="40"/>
      <c r="AW234" s="42"/>
      <c r="AX234" s="42"/>
      <c r="AY234" s="42"/>
      <c r="AZ234" s="42"/>
      <c r="BA234" s="42"/>
      <c r="BB234" s="42"/>
      <c r="BC234" s="49"/>
      <c r="BD234" s="49"/>
      <c r="BE234" s="49"/>
    </row>
    <row r="235" spans="1:62" ht="26" hidden="1" x14ac:dyDescent="0.35">
      <c r="A235" s="120" t="s">
        <v>2641</v>
      </c>
      <c r="B235" s="120" t="s">
        <v>2362</v>
      </c>
      <c r="C235" s="121" t="s">
        <v>2385</v>
      </c>
      <c r="D235" s="121" t="s">
        <v>5</v>
      </c>
      <c r="E235" s="121"/>
      <c r="F235" s="122" t="s">
        <v>1891</v>
      </c>
      <c r="G235" s="85"/>
      <c r="H235" s="86"/>
      <c r="I235" s="87"/>
      <c r="J235" s="88"/>
      <c r="K235" s="89"/>
      <c r="L235" s="90"/>
      <c r="M235" s="165"/>
      <c r="N235" s="134"/>
      <c r="O235" s="45"/>
      <c r="P235" s="130"/>
      <c r="Q235" s="45"/>
      <c r="R235" s="136"/>
      <c r="S235" s="139"/>
      <c r="T235" s="136"/>
      <c r="U235" s="139"/>
      <c r="V235" s="45"/>
      <c r="W235" s="136"/>
      <c r="X235" s="134"/>
      <c r="Y235" s="166"/>
      <c r="Z235" s="126"/>
      <c r="AA235" s="130"/>
      <c r="AB235" s="126"/>
      <c r="AC235" s="130"/>
      <c r="AD235" s="126"/>
      <c r="AE235" s="130"/>
      <c r="AF235" s="126"/>
      <c r="AG235" s="43"/>
      <c r="AH235" s="44"/>
      <c r="AI235" s="45"/>
      <c r="AJ235" s="46"/>
      <c r="AK235" s="41"/>
      <c r="AL235" s="47"/>
      <c r="AM235" s="48"/>
      <c r="AN235" s="111"/>
      <c r="AO235" s="42"/>
      <c r="AP235" s="42"/>
      <c r="AQ235" s="115"/>
      <c r="AR235" s="75">
        <v>1</v>
      </c>
      <c r="AS235" s="40">
        <f t="shared" si="28"/>
        <v>1</v>
      </c>
      <c r="AT235" s="40"/>
      <c r="AW235" s="42"/>
      <c r="AX235" s="42"/>
      <c r="AY235" s="42"/>
      <c r="AZ235" s="42"/>
      <c r="BA235" s="42"/>
      <c r="BB235" s="42"/>
      <c r="BC235" s="49"/>
      <c r="BD235" s="49"/>
      <c r="BE235" s="49"/>
      <c r="BH235" s="31" t="s">
        <v>2266</v>
      </c>
      <c r="BI235" s="31" t="s">
        <v>2248</v>
      </c>
    </row>
    <row r="236" spans="1:62" ht="26" hidden="1" x14ac:dyDescent="0.35">
      <c r="A236" s="120" t="s">
        <v>2641</v>
      </c>
      <c r="B236" s="120" t="s">
        <v>2362</v>
      </c>
      <c r="C236" s="121" t="s">
        <v>2386</v>
      </c>
      <c r="D236" s="121" t="s">
        <v>5</v>
      </c>
      <c r="E236" s="121"/>
      <c r="F236" s="121" t="s">
        <v>1853</v>
      </c>
      <c r="G236" s="85"/>
      <c r="H236" s="86"/>
      <c r="I236" s="87"/>
      <c r="J236" s="88"/>
      <c r="K236" s="89"/>
      <c r="L236" s="90"/>
      <c r="M236" s="165"/>
      <c r="N236" s="134"/>
      <c r="O236" s="45"/>
      <c r="P236" s="130"/>
      <c r="Q236" s="45"/>
      <c r="R236" s="136"/>
      <c r="S236" s="139"/>
      <c r="T236" s="136"/>
      <c r="U236" s="139"/>
      <c r="V236" s="45"/>
      <c r="W236" s="136"/>
      <c r="X236" s="134"/>
      <c r="Y236" s="166"/>
      <c r="Z236" s="126"/>
      <c r="AA236" s="130"/>
      <c r="AB236" s="126"/>
      <c r="AC236" s="130"/>
      <c r="AD236" s="126"/>
      <c r="AE236" s="130"/>
      <c r="AF236" s="126"/>
      <c r="AG236" s="43"/>
      <c r="AH236" s="44"/>
      <c r="AI236" s="45"/>
      <c r="AJ236" s="46"/>
      <c r="AK236" s="41"/>
      <c r="AL236" s="47"/>
      <c r="AM236" s="48"/>
      <c r="AN236" s="111"/>
      <c r="AO236" s="42"/>
      <c r="AP236" s="42"/>
      <c r="AQ236" s="115"/>
      <c r="AR236" s="75">
        <v>1</v>
      </c>
      <c r="AS236" s="40">
        <f t="shared" si="28"/>
        <v>1</v>
      </c>
      <c r="AT236" s="40"/>
      <c r="AW236" s="42"/>
      <c r="AX236" s="42"/>
      <c r="AY236" s="42"/>
      <c r="AZ236" s="42"/>
      <c r="BA236" s="42"/>
      <c r="BB236" s="42"/>
      <c r="BC236" s="49"/>
      <c r="BD236" s="49"/>
      <c r="BE236" s="49"/>
      <c r="BH236" s="31" t="s">
        <v>2252</v>
      </c>
      <c r="BI236" s="31" t="s">
        <v>2248</v>
      </c>
    </row>
    <row r="237" spans="1:62" ht="26" hidden="1" x14ac:dyDescent="0.35">
      <c r="A237" s="120" t="s">
        <v>2641</v>
      </c>
      <c r="B237" s="120" t="s">
        <v>2362</v>
      </c>
      <c r="C237" s="121" t="s">
        <v>2389</v>
      </c>
      <c r="D237" s="121" t="s">
        <v>5</v>
      </c>
      <c r="E237" s="121"/>
      <c r="F237" s="121" t="s">
        <v>81</v>
      </c>
      <c r="G237" s="85"/>
      <c r="H237" s="86"/>
      <c r="I237" s="87"/>
      <c r="J237" s="88"/>
      <c r="K237" s="89"/>
      <c r="L237" s="90"/>
      <c r="M237" s="165"/>
      <c r="N237" s="134"/>
      <c r="O237" s="45"/>
      <c r="P237" s="130"/>
      <c r="Q237" s="45"/>
      <c r="R237" s="136"/>
      <c r="S237" s="139"/>
      <c r="T237" s="136"/>
      <c r="U237" s="139"/>
      <c r="V237" s="45"/>
      <c r="W237" s="136"/>
      <c r="X237" s="134"/>
      <c r="Y237" s="166"/>
      <c r="Z237" s="126"/>
      <c r="AA237" s="130"/>
      <c r="AB237" s="126"/>
      <c r="AC237" s="130"/>
      <c r="AD237" s="126"/>
      <c r="AE237" s="130"/>
      <c r="AF237" s="126"/>
      <c r="AG237" s="43"/>
      <c r="AH237" s="44"/>
      <c r="AI237" s="45"/>
      <c r="AJ237" s="46"/>
      <c r="AK237" s="41"/>
      <c r="AL237" s="47"/>
      <c r="AM237" s="48"/>
      <c r="AN237" s="111"/>
      <c r="AO237" s="42"/>
      <c r="AP237" s="42"/>
      <c r="AQ237" s="115"/>
      <c r="AR237" s="75">
        <v>1</v>
      </c>
      <c r="AS237" s="40">
        <f t="shared" si="28"/>
        <v>1</v>
      </c>
      <c r="AT237" s="40"/>
      <c r="AW237" s="42"/>
      <c r="AX237" s="42"/>
      <c r="AY237" s="42"/>
      <c r="AZ237" s="42"/>
      <c r="BA237" s="42"/>
      <c r="BB237" s="42"/>
      <c r="BC237" s="49"/>
      <c r="BD237" s="49"/>
      <c r="BE237" s="49"/>
      <c r="BH237" s="31" t="s">
        <v>2252</v>
      </c>
      <c r="BI237" s="31" t="s">
        <v>2248</v>
      </c>
    </row>
    <row r="238" spans="1:62" ht="26" hidden="1" x14ac:dyDescent="0.35">
      <c r="A238" s="120" t="s">
        <v>2641</v>
      </c>
      <c r="B238" s="120" t="s">
        <v>2362</v>
      </c>
      <c r="C238" s="121" t="s">
        <v>2388</v>
      </c>
      <c r="D238" s="121" t="s">
        <v>5</v>
      </c>
      <c r="E238" s="121"/>
      <c r="F238" s="121" t="s">
        <v>112</v>
      </c>
      <c r="G238" s="85"/>
      <c r="H238" s="86"/>
      <c r="I238" s="87"/>
      <c r="J238" s="88"/>
      <c r="K238" s="89"/>
      <c r="L238" s="90"/>
      <c r="M238" s="165"/>
      <c r="N238" s="134"/>
      <c r="O238" s="45"/>
      <c r="P238" s="130"/>
      <c r="Q238" s="45"/>
      <c r="R238" s="136"/>
      <c r="S238" s="139"/>
      <c r="T238" s="136"/>
      <c r="U238" s="139"/>
      <c r="V238" s="45"/>
      <c r="W238" s="136"/>
      <c r="X238" s="134"/>
      <c r="Y238" s="166"/>
      <c r="Z238" s="126"/>
      <c r="AA238" s="130"/>
      <c r="AB238" s="126"/>
      <c r="AC238" s="130" t="s">
        <v>12</v>
      </c>
      <c r="AD238" s="126"/>
      <c r="AE238" s="130"/>
      <c r="AF238" s="126"/>
      <c r="AG238" s="43"/>
      <c r="AH238" s="44"/>
      <c r="AI238" s="45"/>
      <c r="AJ238" s="46"/>
      <c r="AK238" s="41"/>
      <c r="AL238" s="47"/>
      <c r="AM238" s="48"/>
      <c r="AN238" s="111"/>
      <c r="AO238" s="42"/>
      <c r="AP238" s="42"/>
      <c r="AQ238" s="115"/>
      <c r="AR238" s="75">
        <v>1</v>
      </c>
      <c r="AS238" s="40">
        <f t="shared" si="28"/>
        <v>1</v>
      </c>
      <c r="AW238" s="42"/>
      <c r="AX238" s="42"/>
      <c r="AY238" s="42"/>
      <c r="AZ238" s="49"/>
      <c r="BA238" s="49"/>
      <c r="BB238" s="49"/>
      <c r="BC238" s="49"/>
      <c r="BD238" s="49"/>
      <c r="BE238" s="49"/>
      <c r="BH238" s="31" t="s">
        <v>2256</v>
      </c>
      <c r="BI238" s="31" t="s">
        <v>2248</v>
      </c>
    </row>
    <row r="239" spans="1:62" ht="26" x14ac:dyDescent="0.35">
      <c r="A239" s="120" t="s">
        <v>2641</v>
      </c>
      <c r="B239" s="120" t="s">
        <v>2061</v>
      </c>
      <c r="C239" s="121" t="s">
        <v>740</v>
      </c>
      <c r="D239" s="121" t="s">
        <v>8</v>
      </c>
      <c r="E239" s="121">
        <v>300</v>
      </c>
      <c r="F239" s="121" t="s">
        <v>2330</v>
      </c>
      <c r="G239" s="85">
        <v>2</v>
      </c>
      <c r="H239" s="86"/>
      <c r="I239" s="87"/>
      <c r="J239" s="88"/>
      <c r="K239" s="89"/>
      <c r="L239" s="90" t="s">
        <v>12</v>
      </c>
      <c r="M239" s="165"/>
      <c r="N239" s="134"/>
      <c r="O239" s="45" t="s">
        <v>12</v>
      </c>
      <c r="P239" s="130" t="s">
        <v>12</v>
      </c>
      <c r="Q239" s="45"/>
      <c r="R239" s="136"/>
      <c r="S239" s="139"/>
      <c r="T239" s="136"/>
      <c r="U239" s="139"/>
      <c r="V239" s="45"/>
      <c r="W239" s="136"/>
      <c r="X239" s="134"/>
      <c r="Y239" s="166"/>
      <c r="Z239" s="126"/>
      <c r="AA239" s="130"/>
      <c r="AB239" s="126"/>
      <c r="AC239" s="130"/>
      <c r="AD239" s="126"/>
      <c r="AE239" s="130"/>
      <c r="AF239" s="126"/>
      <c r="AG239" s="43"/>
      <c r="AH239" s="44"/>
      <c r="AI239" s="45"/>
      <c r="AJ239" s="46"/>
      <c r="AK239" s="41"/>
      <c r="AL239" s="47">
        <v>1</v>
      </c>
      <c r="AM239" s="48"/>
      <c r="AN239" s="111"/>
      <c r="AO239" s="42"/>
      <c r="AP239" s="42"/>
      <c r="AQ239" s="115"/>
      <c r="AR239" s="75"/>
      <c r="AS239" s="40">
        <f t="shared" si="28"/>
        <v>1</v>
      </c>
      <c r="AW239" s="42">
        <f>SUM(E239-(AX239*100))</f>
        <v>200</v>
      </c>
      <c r="AX239" s="42">
        <f>SUM(AY239:BE239)</f>
        <v>1</v>
      </c>
      <c r="AY239" s="42">
        <f>SUM(G239:I239)</f>
        <v>2</v>
      </c>
      <c r="AZ239" s="49">
        <f>SUM(0-COUNTA(J239:L239))</f>
        <v>-1</v>
      </c>
      <c r="BA239" s="49">
        <f>COUNTA(#REF!)</f>
        <v>1</v>
      </c>
      <c r="BB239" s="49">
        <f>COUNTA(Z239:AF239)</f>
        <v>0</v>
      </c>
      <c r="BC239" s="49"/>
      <c r="BD239" s="49"/>
      <c r="BE239" s="49">
        <v>-1</v>
      </c>
    </row>
    <row r="240" spans="1:62" ht="26" hidden="1" x14ac:dyDescent="0.35">
      <c r="A240" s="120" t="s">
        <v>2641</v>
      </c>
      <c r="B240" s="120" t="s">
        <v>2061</v>
      </c>
      <c r="C240" s="121" t="s">
        <v>739</v>
      </c>
      <c r="D240" s="121" t="s">
        <v>8</v>
      </c>
      <c r="E240" s="121">
        <v>200</v>
      </c>
      <c r="F240" s="121" t="s">
        <v>2230</v>
      </c>
      <c r="G240" s="85"/>
      <c r="H240" s="86">
        <v>2</v>
      </c>
      <c r="I240" s="87"/>
      <c r="J240" s="88" t="s">
        <v>12</v>
      </c>
      <c r="K240" s="89"/>
      <c r="L240" s="90" t="s">
        <v>12</v>
      </c>
      <c r="M240" s="165"/>
      <c r="N240" s="134"/>
      <c r="O240" s="45"/>
      <c r="P240" s="130"/>
      <c r="Q240" s="45"/>
      <c r="R240" s="136"/>
      <c r="S240" s="139"/>
      <c r="T240" s="136"/>
      <c r="U240" s="139" t="s">
        <v>12</v>
      </c>
      <c r="V240" s="45"/>
      <c r="W240" s="136"/>
      <c r="X240" s="134"/>
      <c r="Y240" s="166"/>
      <c r="Z240" s="126"/>
      <c r="AA240" s="130"/>
      <c r="AB240" s="126" t="s">
        <v>12</v>
      </c>
      <c r="AC240" s="130"/>
      <c r="AD240" s="126"/>
      <c r="AE240" s="130"/>
      <c r="AF240" s="126"/>
      <c r="AG240" s="43"/>
      <c r="AH240" s="44"/>
      <c r="AI240" s="45"/>
      <c r="AJ240" s="46"/>
      <c r="AK240" s="41">
        <v>1</v>
      </c>
      <c r="AL240" s="47"/>
      <c r="AM240" s="48"/>
      <c r="AN240" s="111"/>
      <c r="AO240" s="42"/>
      <c r="AP240" s="42"/>
      <c r="AQ240" s="115"/>
      <c r="AR240" s="75"/>
      <c r="AS240" s="40">
        <f t="shared" si="28"/>
        <v>1</v>
      </c>
      <c r="AW240" s="42">
        <f>SUM(E240-(AX240*100))</f>
        <v>100</v>
      </c>
      <c r="AX240" s="42">
        <f>SUM(AY240:BE240)</f>
        <v>1</v>
      </c>
      <c r="AY240" s="42">
        <f>SUM(G240:I240)</f>
        <v>2</v>
      </c>
      <c r="AZ240" s="49">
        <f>SUM(0-COUNTA(J240:L240))</f>
        <v>-2</v>
      </c>
      <c r="BA240" s="49">
        <f>COUNTA(#REF!)</f>
        <v>1</v>
      </c>
      <c r="BB240" s="49">
        <f>COUNTA(Z240:AF240)</f>
        <v>1</v>
      </c>
      <c r="BC240" s="49"/>
      <c r="BD240" s="49"/>
      <c r="BE240" s="49">
        <v>-1</v>
      </c>
    </row>
    <row r="241" spans="1:57" ht="26" x14ac:dyDescent="0.35">
      <c r="A241" s="120" t="s">
        <v>2641</v>
      </c>
      <c r="B241" s="120" t="s">
        <v>2061</v>
      </c>
      <c r="C241" s="121" t="s">
        <v>738</v>
      </c>
      <c r="D241" s="121" t="s">
        <v>8</v>
      </c>
      <c r="E241" s="121">
        <v>300</v>
      </c>
      <c r="F241" s="121" t="s">
        <v>2331</v>
      </c>
      <c r="G241" s="85">
        <v>1</v>
      </c>
      <c r="H241" s="86">
        <v>1</v>
      </c>
      <c r="I241" s="87"/>
      <c r="J241" s="88" t="s">
        <v>12</v>
      </c>
      <c r="K241" s="89"/>
      <c r="L241" s="90" t="s">
        <v>12</v>
      </c>
      <c r="M241" s="165"/>
      <c r="N241" s="134"/>
      <c r="O241" s="45"/>
      <c r="P241" s="130"/>
      <c r="Q241" s="45"/>
      <c r="R241" s="136" t="s">
        <v>12</v>
      </c>
      <c r="S241" s="139"/>
      <c r="T241" s="136" t="s">
        <v>12</v>
      </c>
      <c r="U241" s="139"/>
      <c r="V241" s="45"/>
      <c r="W241" s="136"/>
      <c r="X241" s="134"/>
      <c r="Y241" s="166"/>
      <c r="Z241" s="126"/>
      <c r="AA241" s="130"/>
      <c r="AB241" s="126"/>
      <c r="AC241" s="130"/>
      <c r="AD241" s="126"/>
      <c r="AE241" s="130"/>
      <c r="AF241" s="126"/>
      <c r="AG241" s="43"/>
      <c r="AH241" s="44"/>
      <c r="AI241" s="45"/>
      <c r="AJ241" s="46">
        <v>1</v>
      </c>
      <c r="AK241" s="41"/>
      <c r="AL241" s="47"/>
      <c r="AM241" s="48"/>
      <c r="AN241" s="111"/>
      <c r="AO241" s="42"/>
      <c r="AP241" s="42"/>
      <c r="AQ241" s="115"/>
      <c r="AR241" s="75"/>
      <c r="AS241" s="40">
        <f t="shared" si="28"/>
        <v>1</v>
      </c>
      <c r="AW241" s="42">
        <f>SUM(E241-(AX241*100))</f>
        <v>300</v>
      </c>
      <c r="AX241" s="42">
        <f>SUM(AY241:BE241)</f>
        <v>0</v>
      </c>
      <c r="AY241" s="42">
        <f>SUM(G241:I241)</f>
        <v>2</v>
      </c>
      <c r="AZ241" s="49">
        <f>SUM(0-COUNTA(J241:L241))</f>
        <v>-2</v>
      </c>
      <c r="BA241" s="49">
        <f>COUNTA(#REF!)</f>
        <v>1</v>
      </c>
      <c r="BB241" s="49">
        <f>COUNTA(Z241:AF241)</f>
        <v>0</v>
      </c>
      <c r="BC241" s="49"/>
      <c r="BD241" s="49"/>
      <c r="BE241" s="49">
        <v>-1</v>
      </c>
    </row>
    <row r="242" spans="1:57" ht="26" hidden="1" x14ac:dyDescent="0.35">
      <c r="A242" s="120" t="s">
        <v>2641</v>
      </c>
      <c r="B242" s="120" t="s">
        <v>2061</v>
      </c>
      <c r="C242" s="121" t="s">
        <v>2226</v>
      </c>
      <c r="D242" s="121" t="s">
        <v>8</v>
      </c>
      <c r="E242" s="121">
        <v>300</v>
      </c>
      <c r="F242" s="121" t="s">
        <v>2227</v>
      </c>
      <c r="G242" s="85"/>
      <c r="H242" s="86">
        <v>2</v>
      </c>
      <c r="I242" s="87">
        <v>1</v>
      </c>
      <c r="J242" s="88" t="s">
        <v>12</v>
      </c>
      <c r="K242" s="89"/>
      <c r="L242" s="90"/>
      <c r="M242" s="165" t="s">
        <v>12</v>
      </c>
      <c r="N242" s="134"/>
      <c r="O242" s="45"/>
      <c r="P242" s="130"/>
      <c r="Q242" s="45"/>
      <c r="R242" s="136"/>
      <c r="S242" s="139" t="s">
        <v>12</v>
      </c>
      <c r="T242" s="136"/>
      <c r="U242" s="139"/>
      <c r="V242" s="45"/>
      <c r="W242" s="136"/>
      <c r="X242" s="134"/>
      <c r="Y242" s="166"/>
      <c r="Z242" s="126"/>
      <c r="AA242" s="130"/>
      <c r="AB242" s="126"/>
      <c r="AC242" s="130"/>
      <c r="AD242" s="126"/>
      <c r="AE242" s="130"/>
      <c r="AF242" s="126"/>
      <c r="AG242" s="43"/>
      <c r="AH242" s="44"/>
      <c r="AI242" s="45"/>
      <c r="AJ242" s="46"/>
      <c r="AK242" s="41">
        <v>1</v>
      </c>
      <c r="AL242" s="47"/>
      <c r="AM242" s="48"/>
      <c r="AN242" s="111"/>
      <c r="AO242" s="42"/>
      <c r="AP242" s="42"/>
      <c r="AQ242" s="115"/>
      <c r="AR242" s="75"/>
      <c r="AS242" s="40">
        <f t="shared" si="28"/>
        <v>1</v>
      </c>
      <c r="AW242" s="42">
        <f>SUM(E242-(AX242*100))</f>
        <v>100</v>
      </c>
      <c r="AX242" s="42">
        <f>SUM(AY242:BE242)</f>
        <v>2</v>
      </c>
      <c r="AY242" s="42">
        <f>SUM(G242:I242)</f>
        <v>3</v>
      </c>
      <c r="AZ242" s="49">
        <f>SUM(0-COUNTA(J242:L242))</f>
        <v>-1</v>
      </c>
      <c r="BA242" s="49">
        <f>COUNTA(#REF!)</f>
        <v>1</v>
      </c>
      <c r="BB242" s="49">
        <f>COUNTA(Z242:AF242)</f>
        <v>0</v>
      </c>
      <c r="BC242" s="49"/>
      <c r="BD242" s="49"/>
      <c r="BE242" s="49">
        <v>-1</v>
      </c>
    </row>
    <row r="243" spans="1:57" ht="39" hidden="1" x14ac:dyDescent="0.35">
      <c r="A243" s="120" t="s">
        <v>2641</v>
      </c>
      <c r="B243" s="120" t="s">
        <v>2061</v>
      </c>
      <c r="C243" s="121" t="s">
        <v>2367</v>
      </c>
      <c r="D243" s="121" t="s">
        <v>736</v>
      </c>
      <c r="E243" s="121"/>
      <c r="F243" s="121" t="s">
        <v>2231</v>
      </c>
      <c r="G243" s="85"/>
      <c r="H243" s="86"/>
      <c r="I243" s="87"/>
      <c r="J243" s="88"/>
      <c r="K243" s="89"/>
      <c r="L243" s="90"/>
      <c r="M243" s="165"/>
      <c r="N243" s="134"/>
      <c r="O243" s="45"/>
      <c r="P243" s="130"/>
      <c r="Q243" s="45"/>
      <c r="R243" s="136"/>
      <c r="S243" s="139"/>
      <c r="T243" s="136"/>
      <c r="U243" s="139"/>
      <c r="V243" s="45"/>
      <c r="W243" s="136"/>
      <c r="X243" s="134"/>
      <c r="Y243" s="166"/>
      <c r="Z243" s="126"/>
      <c r="AA243" s="130"/>
      <c r="AB243" s="126"/>
      <c r="AC243" s="130"/>
      <c r="AD243" s="126"/>
      <c r="AE243" s="130"/>
      <c r="AF243" s="126"/>
      <c r="AG243" s="43"/>
      <c r="AH243" s="44"/>
      <c r="AI243" s="45"/>
      <c r="AJ243" s="46"/>
      <c r="AK243" s="41"/>
      <c r="AL243" s="47"/>
      <c r="AM243" s="48"/>
      <c r="AN243" s="111"/>
      <c r="AO243" s="42"/>
      <c r="AP243" s="42"/>
      <c r="AQ243" s="115"/>
      <c r="AR243" s="75">
        <v>1</v>
      </c>
      <c r="AS243" s="40">
        <f t="shared" si="28"/>
        <v>1</v>
      </c>
      <c r="AW243" s="42"/>
      <c r="AX243" s="42"/>
      <c r="AY243" s="42"/>
      <c r="AZ243" s="49"/>
      <c r="BA243" s="49"/>
      <c r="BB243" s="49"/>
      <c r="BC243" s="49"/>
      <c r="BD243" s="49"/>
      <c r="BE243" s="49"/>
    </row>
    <row r="244" spans="1:57" ht="26" hidden="1" x14ac:dyDescent="0.35">
      <c r="A244" s="120" t="s">
        <v>2641</v>
      </c>
      <c r="B244" s="120" t="s">
        <v>2061</v>
      </c>
      <c r="C244" s="121" t="s">
        <v>2229</v>
      </c>
      <c r="D244" s="121" t="s">
        <v>131</v>
      </c>
      <c r="E244" s="121">
        <v>600</v>
      </c>
      <c r="F244" s="121" t="s">
        <v>2495</v>
      </c>
      <c r="G244" s="85">
        <v>1</v>
      </c>
      <c r="H244" s="86"/>
      <c r="I244" s="87"/>
      <c r="J244" s="88"/>
      <c r="K244" s="89"/>
      <c r="L244" s="90"/>
      <c r="M244" s="165"/>
      <c r="N244" s="134"/>
      <c r="O244" s="45"/>
      <c r="P244" s="130"/>
      <c r="Q244" s="45"/>
      <c r="R244" s="136"/>
      <c r="S244" s="139"/>
      <c r="T244" s="136"/>
      <c r="U244" s="139"/>
      <c r="V244" s="45"/>
      <c r="W244" s="136"/>
      <c r="X244" s="134"/>
      <c r="Y244" s="166"/>
      <c r="Z244" s="126"/>
      <c r="AA244" s="130"/>
      <c r="AB244" s="126"/>
      <c r="AC244" s="130"/>
      <c r="AD244" s="126" t="s">
        <v>12</v>
      </c>
      <c r="AE244" s="130"/>
      <c r="AF244" s="126"/>
      <c r="AG244" s="43"/>
      <c r="AH244" s="44"/>
      <c r="AI244" s="45"/>
      <c r="AJ244" s="46"/>
      <c r="AK244" s="41"/>
      <c r="AL244" s="47">
        <v>1</v>
      </c>
      <c r="AM244" s="48"/>
      <c r="AN244" s="111"/>
      <c r="AO244" s="42"/>
      <c r="AP244" s="42"/>
      <c r="AQ244" s="115"/>
      <c r="AR244" s="75"/>
      <c r="AS244" s="40">
        <f t="shared" si="28"/>
        <v>1</v>
      </c>
      <c r="AW244" s="42"/>
      <c r="AX244" s="42"/>
      <c r="AY244" s="42"/>
      <c r="AZ244" s="49"/>
      <c r="BA244" s="49"/>
      <c r="BB244" s="49"/>
      <c r="BC244" s="49"/>
      <c r="BD244" s="49"/>
      <c r="BE244" s="49"/>
    </row>
    <row r="245" spans="1:57" ht="26" hidden="1" x14ac:dyDescent="0.35">
      <c r="A245" s="120" t="s">
        <v>2641</v>
      </c>
      <c r="B245" s="120" t="s">
        <v>2061</v>
      </c>
      <c r="C245" s="121" t="s">
        <v>2228</v>
      </c>
      <c r="D245" s="121" t="s">
        <v>131</v>
      </c>
      <c r="E245" s="121">
        <v>1000</v>
      </c>
      <c r="F245" s="121" t="s">
        <v>2332</v>
      </c>
      <c r="G245" s="85">
        <v>1</v>
      </c>
      <c r="H245" s="86"/>
      <c r="I245" s="87"/>
      <c r="J245" s="88"/>
      <c r="K245" s="89"/>
      <c r="L245" s="90"/>
      <c r="M245" s="165"/>
      <c r="N245" s="134"/>
      <c r="O245" s="45"/>
      <c r="P245" s="130"/>
      <c r="Q245" s="45"/>
      <c r="R245" s="136"/>
      <c r="S245" s="139"/>
      <c r="T245" s="136"/>
      <c r="U245" s="139"/>
      <c r="V245" s="45"/>
      <c r="W245" s="136"/>
      <c r="X245" s="134"/>
      <c r="Y245" s="166"/>
      <c r="Z245" s="126"/>
      <c r="AA245" s="130"/>
      <c r="AB245" s="126"/>
      <c r="AC245" s="130"/>
      <c r="AD245" s="126" t="s">
        <v>12</v>
      </c>
      <c r="AE245" s="130" t="s">
        <v>12</v>
      </c>
      <c r="AF245" s="126"/>
      <c r="AG245" s="43"/>
      <c r="AH245" s="44"/>
      <c r="AI245" s="45"/>
      <c r="AJ245" s="46">
        <v>1</v>
      </c>
      <c r="AK245" s="41"/>
      <c r="AL245" s="47"/>
      <c r="AM245" s="48"/>
      <c r="AN245" s="111"/>
      <c r="AO245" s="42"/>
      <c r="AP245" s="42"/>
      <c r="AQ245" s="115"/>
      <c r="AR245" s="75"/>
      <c r="AS245" s="40">
        <f t="shared" si="28"/>
        <v>1</v>
      </c>
      <c r="AW245" s="42"/>
      <c r="AX245" s="42"/>
      <c r="AY245" s="42"/>
      <c r="AZ245" s="49"/>
      <c r="BA245" s="49"/>
      <c r="BB245" s="49"/>
      <c r="BC245" s="49"/>
      <c r="BD245" s="49"/>
      <c r="BE245" s="49"/>
    </row>
    <row r="246" spans="1:57" ht="26" hidden="1" x14ac:dyDescent="0.35">
      <c r="A246" s="120" t="s">
        <v>2641</v>
      </c>
      <c r="B246" s="120" t="s">
        <v>2061</v>
      </c>
      <c r="C246" s="121" t="s">
        <v>2232</v>
      </c>
      <c r="D246" s="121" t="s">
        <v>136</v>
      </c>
      <c r="E246" s="121"/>
      <c r="F246" s="121" t="s">
        <v>2328</v>
      </c>
      <c r="G246" s="85">
        <v>1</v>
      </c>
      <c r="H246" s="86">
        <v>1</v>
      </c>
      <c r="I246" s="87">
        <v>1</v>
      </c>
      <c r="J246" s="88" t="s">
        <v>12</v>
      </c>
      <c r="K246" s="89"/>
      <c r="L246" s="90"/>
      <c r="M246" s="165"/>
      <c r="N246" s="134"/>
      <c r="O246" s="45"/>
      <c r="P246" s="130"/>
      <c r="Q246" s="45"/>
      <c r="R246" s="136"/>
      <c r="S246" s="139"/>
      <c r="T246" s="136"/>
      <c r="U246" s="139"/>
      <c r="V246" s="45" t="s">
        <v>12</v>
      </c>
      <c r="W246" s="136"/>
      <c r="X246" s="134"/>
      <c r="Y246" s="166"/>
      <c r="Z246" s="126"/>
      <c r="AA246" s="130"/>
      <c r="AB246" s="126"/>
      <c r="AC246" s="130" t="s">
        <v>12</v>
      </c>
      <c r="AD246" s="126"/>
      <c r="AE246" s="130"/>
      <c r="AF246" s="126"/>
      <c r="AG246" s="43"/>
      <c r="AH246" s="44"/>
      <c r="AI246" s="45"/>
      <c r="AJ246" s="46"/>
      <c r="AK246" s="41"/>
      <c r="AL246" s="47"/>
      <c r="AM246" s="48"/>
      <c r="AN246" s="111"/>
      <c r="AO246" s="42"/>
      <c r="AP246" s="42"/>
      <c r="AQ246" s="115"/>
      <c r="AR246" s="75">
        <v>1</v>
      </c>
      <c r="AS246" s="40">
        <f t="shared" si="28"/>
        <v>1</v>
      </c>
      <c r="AW246" s="42"/>
      <c r="AX246" s="42"/>
      <c r="AY246" s="42"/>
      <c r="AZ246" s="49"/>
      <c r="BA246" s="49"/>
      <c r="BB246" s="49"/>
      <c r="BC246" s="49"/>
      <c r="BD246" s="49"/>
      <c r="BE246" s="49"/>
    </row>
    <row r="247" spans="1:57" ht="39" hidden="1" x14ac:dyDescent="0.35">
      <c r="A247" s="120" t="s">
        <v>2641</v>
      </c>
      <c r="B247" s="120" t="s">
        <v>2061</v>
      </c>
      <c r="C247" s="121" t="s">
        <v>2378</v>
      </c>
      <c r="D247" s="121" t="s">
        <v>5</v>
      </c>
      <c r="E247" s="121"/>
      <c r="F247" s="121" t="s">
        <v>2329</v>
      </c>
      <c r="G247" s="85"/>
      <c r="H247" s="86"/>
      <c r="I247" s="87"/>
      <c r="J247" s="88"/>
      <c r="K247" s="89"/>
      <c r="L247" s="90"/>
      <c r="M247" s="165"/>
      <c r="N247" s="134"/>
      <c r="O247" s="45"/>
      <c r="P247" s="130"/>
      <c r="Q247" s="45"/>
      <c r="R247" s="136"/>
      <c r="S247" s="139"/>
      <c r="T247" s="136"/>
      <c r="U247" s="139"/>
      <c r="V247" s="45"/>
      <c r="W247" s="136"/>
      <c r="X247" s="134"/>
      <c r="Y247" s="166"/>
      <c r="Z247" s="126"/>
      <c r="AA247" s="130"/>
      <c r="AB247" s="126"/>
      <c r="AC247" s="130"/>
      <c r="AD247" s="126"/>
      <c r="AE247" s="130"/>
      <c r="AF247" s="126"/>
      <c r="AG247" s="43"/>
      <c r="AH247" s="44"/>
      <c r="AI247" s="45"/>
      <c r="AJ247" s="46"/>
      <c r="AK247" s="41"/>
      <c r="AL247" s="47"/>
      <c r="AM247" s="48"/>
      <c r="AN247" s="111"/>
      <c r="AO247" s="42"/>
      <c r="AP247" s="42"/>
      <c r="AQ247" s="115"/>
      <c r="AR247" s="75">
        <v>1</v>
      </c>
      <c r="AS247" s="40">
        <f t="shared" si="28"/>
        <v>1</v>
      </c>
      <c r="AW247" s="42"/>
      <c r="AX247" s="42"/>
      <c r="AY247" s="42"/>
      <c r="AZ247" s="49"/>
      <c r="BA247" s="49"/>
      <c r="BB247" s="49"/>
      <c r="BC247" s="49"/>
      <c r="BD247" s="49"/>
      <c r="BE247" s="49"/>
    </row>
    <row r="248" spans="1:57" ht="26" hidden="1" x14ac:dyDescent="0.35">
      <c r="A248" s="120" t="s">
        <v>2641</v>
      </c>
      <c r="B248" s="120" t="s">
        <v>2233</v>
      </c>
      <c r="C248" s="121" t="s">
        <v>2235</v>
      </c>
      <c r="D248" s="121" t="s">
        <v>8</v>
      </c>
      <c r="E248" s="121">
        <v>300</v>
      </c>
      <c r="F248" s="121" t="s">
        <v>2326</v>
      </c>
      <c r="G248" s="189">
        <v>1</v>
      </c>
      <c r="H248" s="190">
        <v>1</v>
      </c>
      <c r="I248" s="191"/>
      <c r="J248" s="192" t="s">
        <v>12</v>
      </c>
      <c r="K248" s="193"/>
      <c r="L248" s="41"/>
      <c r="M248" s="165"/>
      <c r="N248" s="134"/>
      <c r="O248" s="45"/>
      <c r="P248" s="130"/>
      <c r="Q248" s="45"/>
      <c r="R248" s="136"/>
      <c r="S248" s="139" t="s">
        <v>12</v>
      </c>
      <c r="T248" s="136"/>
      <c r="U248" s="139"/>
      <c r="V248" s="45" t="s">
        <v>12</v>
      </c>
      <c r="W248" s="136"/>
      <c r="X248" s="134"/>
      <c r="Y248" s="166"/>
      <c r="Z248" s="126"/>
      <c r="AA248" s="130"/>
      <c r="AB248" s="126"/>
      <c r="AC248" s="130"/>
      <c r="AD248" s="126"/>
      <c r="AE248" s="130"/>
      <c r="AF248" s="126"/>
      <c r="AG248" s="43"/>
      <c r="AH248" s="44"/>
      <c r="AI248" s="45"/>
      <c r="AJ248" s="46"/>
      <c r="AK248" s="41">
        <v>1</v>
      </c>
      <c r="AL248" s="47"/>
      <c r="AM248" s="48"/>
      <c r="AN248" s="111"/>
      <c r="AO248" s="42"/>
      <c r="AP248" s="42"/>
      <c r="AQ248" s="115"/>
      <c r="AR248" s="75"/>
      <c r="AS248" s="40">
        <f t="shared" si="28"/>
        <v>1</v>
      </c>
      <c r="AW248" s="42">
        <f>SUM(E248-(AX248*100))</f>
        <v>200</v>
      </c>
      <c r="AX248" s="42">
        <f>SUM(AY248:BE248)</f>
        <v>1</v>
      </c>
      <c r="AY248" s="42">
        <f>SUM(G248:I248)</f>
        <v>2</v>
      </c>
      <c r="AZ248" s="49">
        <f>SUM(0-COUNTA(J248:L248))</f>
        <v>-1</v>
      </c>
      <c r="BA248" s="49">
        <f>COUNTA(#REF!)</f>
        <v>1</v>
      </c>
      <c r="BB248" s="49">
        <f>COUNTA(Z248:AF248)</f>
        <v>0</v>
      </c>
      <c r="BC248" s="49"/>
      <c r="BD248" s="49"/>
      <c r="BE248" s="49">
        <v>-1</v>
      </c>
    </row>
    <row r="249" spans="1:57" ht="39" hidden="1" x14ac:dyDescent="0.35">
      <c r="A249" s="120" t="s">
        <v>2641</v>
      </c>
      <c r="B249" s="120" t="s">
        <v>2233</v>
      </c>
      <c r="C249" s="121" t="s">
        <v>2238</v>
      </c>
      <c r="D249" s="121" t="s">
        <v>8</v>
      </c>
      <c r="E249" s="121">
        <v>0</v>
      </c>
      <c r="F249" s="121" t="s">
        <v>2239</v>
      </c>
      <c r="G249" s="189">
        <v>1</v>
      </c>
      <c r="H249" s="190"/>
      <c r="I249" s="191">
        <v>1</v>
      </c>
      <c r="J249" s="192" t="s">
        <v>12</v>
      </c>
      <c r="K249" s="193"/>
      <c r="L249" s="41"/>
      <c r="M249" s="165"/>
      <c r="N249" s="134"/>
      <c r="O249" s="45"/>
      <c r="P249" s="130"/>
      <c r="Q249" s="45"/>
      <c r="R249" s="136"/>
      <c r="S249" s="139"/>
      <c r="T249" s="136"/>
      <c r="U249" s="139"/>
      <c r="V249" s="45"/>
      <c r="W249" s="136"/>
      <c r="X249" s="134"/>
      <c r="Y249" s="166"/>
      <c r="Z249" s="126"/>
      <c r="AA249" s="130"/>
      <c r="AB249" s="126"/>
      <c r="AC249" s="130"/>
      <c r="AD249" s="126"/>
      <c r="AE249" s="130"/>
      <c r="AF249" s="126"/>
      <c r="AG249" s="43">
        <v>1</v>
      </c>
      <c r="AH249" s="44"/>
      <c r="AI249" s="45"/>
      <c r="AJ249" s="46"/>
      <c r="AK249" s="41"/>
      <c r="AL249" s="47"/>
      <c r="AM249" s="48"/>
      <c r="AN249" s="111"/>
      <c r="AO249" s="42"/>
      <c r="AP249" s="42"/>
      <c r="AQ249" s="115"/>
      <c r="AR249" s="75"/>
      <c r="AS249" s="40">
        <f t="shared" si="28"/>
        <v>1</v>
      </c>
      <c r="AW249" s="42">
        <f>SUM(E249-(AX249*100))</f>
        <v>-100</v>
      </c>
      <c r="AX249" s="42">
        <f>SUM(AY249:BE249)</f>
        <v>1</v>
      </c>
      <c r="AY249" s="42">
        <f>SUM(G249:I249)</f>
        <v>2</v>
      </c>
      <c r="AZ249" s="49">
        <f>SUM(0-COUNTA(J249:L249))</f>
        <v>-1</v>
      </c>
      <c r="BA249" s="49">
        <f>COUNTA(#REF!)</f>
        <v>1</v>
      </c>
      <c r="BB249" s="49">
        <f>COUNTA(Z249:AF249)</f>
        <v>0</v>
      </c>
      <c r="BC249" s="49"/>
      <c r="BD249" s="49"/>
      <c r="BE249" s="49">
        <v>-1</v>
      </c>
    </row>
    <row r="250" spans="1:57" ht="26" hidden="1" x14ac:dyDescent="0.35">
      <c r="A250" s="120" t="s">
        <v>2641</v>
      </c>
      <c r="B250" s="120" t="s">
        <v>2233</v>
      </c>
      <c r="C250" s="121" t="s">
        <v>2234</v>
      </c>
      <c r="D250" s="121" t="s">
        <v>8</v>
      </c>
      <c r="E250" s="121">
        <v>300</v>
      </c>
      <c r="F250" s="121" t="s">
        <v>2636</v>
      </c>
      <c r="G250" s="189">
        <v>2</v>
      </c>
      <c r="H250" s="190"/>
      <c r="I250" s="191"/>
      <c r="J250" s="192"/>
      <c r="K250" s="193"/>
      <c r="L250" s="41"/>
      <c r="M250" s="165"/>
      <c r="N250" s="134"/>
      <c r="O250" s="45"/>
      <c r="P250" s="130"/>
      <c r="Q250" s="45"/>
      <c r="R250" s="136"/>
      <c r="S250" s="139"/>
      <c r="T250" s="136"/>
      <c r="U250" s="139"/>
      <c r="V250" s="45"/>
      <c r="W250" s="136"/>
      <c r="X250" s="134"/>
      <c r="Y250" s="166"/>
      <c r="Z250" s="126"/>
      <c r="AA250" s="130"/>
      <c r="AB250" s="126"/>
      <c r="AC250" s="130"/>
      <c r="AD250" s="126"/>
      <c r="AE250" s="130"/>
      <c r="AF250" s="126"/>
      <c r="AG250" s="43"/>
      <c r="AH250" s="44"/>
      <c r="AI250" s="45"/>
      <c r="AJ250" s="46"/>
      <c r="AK250" s="41"/>
      <c r="AL250" s="47"/>
      <c r="AM250" s="48">
        <v>1</v>
      </c>
      <c r="AN250" s="111"/>
      <c r="AO250" s="42"/>
      <c r="AP250" s="42"/>
      <c r="AQ250" s="115"/>
      <c r="AR250" s="75"/>
      <c r="AS250" s="40">
        <f t="shared" si="28"/>
        <v>1</v>
      </c>
      <c r="AW250" s="42">
        <f>SUM(E250-(AX250*100))</f>
        <v>100</v>
      </c>
      <c r="AX250" s="42">
        <f>SUM(AY250:BE250)</f>
        <v>2</v>
      </c>
      <c r="AY250" s="42">
        <f>SUM(G250:I250)</f>
        <v>2</v>
      </c>
      <c r="AZ250" s="49">
        <f>SUM(0-COUNTA(J250:L250))</f>
        <v>0</v>
      </c>
      <c r="BA250" s="49">
        <f>COUNTA(#REF!)</f>
        <v>1</v>
      </c>
      <c r="BB250" s="49">
        <f>COUNTA(Z250:AF250)</f>
        <v>0</v>
      </c>
      <c r="BC250" s="49"/>
      <c r="BD250" s="49"/>
      <c r="BE250" s="49">
        <v>-1</v>
      </c>
    </row>
    <row r="251" spans="1:57" ht="26" hidden="1" x14ac:dyDescent="0.35">
      <c r="A251" s="120" t="s">
        <v>2641</v>
      </c>
      <c r="B251" s="120" t="s">
        <v>2233</v>
      </c>
      <c r="C251" s="121" t="s">
        <v>2236</v>
      </c>
      <c r="D251" s="121" t="s">
        <v>8</v>
      </c>
      <c r="E251" s="121">
        <v>300</v>
      </c>
      <c r="F251" s="121" t="s">
        <v>2327</v>
      </c>
      <c r="G251" s="189"/>
      <c r="H251" s="190"/>
      <c r="I251" s="191">
        <v>3</v>
      </c>
      <c r="J251" s="192" t="s">
        <v>12</v>
      </c>
      <c r="K251" s="193"/>
      <c r="L251" s="41"/>
      <c r="M251" s="165" t="s">
        <v>12</v>
      </c>
      <c r="N251" s="134"/>
      <c r="O251" s="45"/>
      <c r="P251" s="130"/>
      <c r="Q251" s="45"/>
      <c r="R251" s="136"/>
      <c r="S251" s="139"/>
      <c r="T251" s="136"/>
      <c r="U251" s="139"/>
      <c r="V251" s="45"/>
      <c r="W251" s="136"/>
      <c r="X251" s="134"/>
      <c r="Y251" s="166"/>
      <c r="Z251" s="126"/>
      <c r="AA251" s="130"/>
      <c r="AB251" s="126" t="s">
        <v>12</v>
      </c>
      <c r="AC251" s="130"/>
      <c r="AD251" s="126"/>
      <c r="AE251" s="130"/>
      <c r="AF251" s="126"/>
      <c r="AG251" s="43"/>
      <c r="AH251" s="44"/>
      <c r="AI251" s="45"/>
      <c r="AJ251" s="46"/>
      <c r="AK251" s="41">
        <v>1</v>
      </c>
      <c r="AL251" s="47"/>
      <c r="AM251" s="48"/>
      <c r="AN251" s="111"/>
      <c r="AO251" s="42"/>
      <c r="AP251" s="42"/>
      <c r="AQ251" s="115"/>
      <c r="AR251" s="75"/>
      <c r="AS251" s="40">
        <f t="shared" si="28"/>
        <v>1</v>
      </c>
      <c r="AW251" s="42">
        <f>SUM(E251-(AX251*100))</f>
        <v>0</v>
      </c>
      <c r="AX251" s="42">
        <f>SUM(AY251:BE251)</f>
        <v>3</v>
      </c>
      <c r="AY251" s="42">
        <f>SUM(G251:I251)</f>
        <v>3</v>
      </c>
      <c r="AZ251" s="49">
        <f>SUM(0-COUNTA(J251:L251))</f>
        <v>-1</v>
      </c>
      <c r="BA251" s="49">
        <f>COUNTA(#REF!)</f>
        <v>1</v>
      </c>
      <c r="BB251" s="49">
        <f>COUNTA(Z251:AF251)</f>
        <v>1</v>
      </c>
      <c r="BC251" s="49"/>
      <c r="BD251" s="49"/>
      <c r="BE251" s="49">
        <v>-1</v>
      </c>
    </row>
    <row r="252" spans="1:57" ht="52" hidden="1" x14ac:dyDescent="0.35">
      <c r="A252" s="120" t="s">
        <v>2641</v>
      </c>
      <c r="B252" s="120" t="s">
        <v>2233</v>
      </c>
      <c r="C252" s="121" t="s">
        <v>2368</v>
      </c>
      <c r="D252" s="121" t="s">
        <v>736</v>
      </c>
      <c r="E252" s="121"/>
      <c r="F252" s="121" t="s">
        <v>2628</v>
      </c>
      <c r="G252" s="189"/>
      <c r="H252" s="190"/>
      <c r="I252" s="191"/>
      <c r="J252" s="192"/>
      <c r="K252" s="193"/>
      <c r="L252" s="41"/>
      <c r="M252" s="165"/>
      <c r="N252" s="134"/>
      <c r="O252" s="45"/>
      <c r="P252" s="130"/>
      <c r="Q252" s="45"/>
      <c r="R252" s="136"/>
      <c r="S252" s="139"/>
      <c r="T252" s="136"/>
      <c r="U252" s="139"/>
      <c r="V252" s="45"/>
      <c r="W252" s="136"/>
      <c r="X252" s="134"/>
      <c r="Y252" s="166"/>
      <c r="Z252" s="126"/>
      <c r="AA252" s="130"/>
      <c r="AB252" s="126"/>
      <c r="AC252" s="130"/>
      <c r="AD252" s="126"/>
      <c r="AE252" s="130"/>
      <c r="AF252" s="126"/>
      <c r="AG252" s="43"/>
      <c r="AH252" s="44"/>
      <c r="AI252" s="45"/>
      <c r="AJ252" s="46"/>
      <c r="AK252" s="41"/>
      <c r="AL252" s="47"/>
      <c r="AM252" s="48"/>
      <c r="AN252" s="111"/>
      <c r="AO252" s="42"/>
      <c r="AP252" s="42"/>
      <c r="AQ252" s="115"/>
      <c r="AR252" s="75">
        <v>1</v>
      </c>
      <c r="AS252" s="40">
        <f t="shared" si="28"/>
        <v>1</v>
      </c>
      <c r="AW252" s="42"/>
      <c r="AX252" s="42"/>
      <c r="AY252" s="42"/>
      <c r="AZ252" s="49"/>
      <c r="BA252" s="49"/>
      <c r="BB252" s="49"/>
      <c r="BC252" s="49"/>
      <c r="BD252" s="49"/>
      <c r="BE252" s="49"/>
    </row>
    <row r="253" spans="1:57" ht="26" hidden="1" x14ac:dyDescent="0.35">
      <c r="A253" s="120" t="s">
        <v>2641</v>
      </c>
      <c r="B253" s="120" t="s">
        <v>2233</v>
      </c>
      <c r="C253" s="121" t="s">
        <v>2637</v>
      </c>
      <c r="D253" s="121" t="s">
        <v>131</v>
      </c>
      <c r="E253" s="121">
        <v>1200</v>
      </c>
      <c r="F253" s="121" t="s">
        <v>569</v>
      </c>
      <c r="G253" s="189">
        <v>1</v>
      </c>
      <c r="H253" s="190"/>
      <c r="I253" s="191">
        <v>1</v>
      </c>
      <c r="J253" s="192"/>
      <c r="K253" s="193"/>
      <c r="L253" s="41"/>
      <c r="M253" s="165"/>
      <c r="N253" s="134"/>
      <c r="O253" s="45"/>
      <c r="P253" s="130"/>
      <c r="Q253" s="45"/>
      <c r="R253" s="136"/>
      <c r="S253" s="139"/>
      <c r="T253" s="136"/>
      <c r="U253" s="139"/>
      <c r="V253" s="45"/>
      <c r="W253" s="136"/>
      <c r="X253" s="134"/>
      <c r="Y253" s="166"/>
      <c r="Z253" s="126"/>
      <c r="AA253" s="130" t="s">
        <v>12</v>
      </c>
      <c r="AB253" s="126"/>
      <c r="AC253" s="130"/>
      <c r="AD253" s="126"/>
      <c r="AE253" s="130"/>
      <c r="AF253" s="126"/>
      <c r="AG253" s="43"/>
      <c r="AH253" s="44"/>
      <c r="AI253" s="45"/>
      <c r="AJ253" s="46"/>
      <c r="AK253" s="41"/>
      <c r="AL253" s="47"/>
      <c r="AM253" s="48">
        <v>1</v>
      </c>
      <c r="AN253" s="111"/>
      <c r="AO253" s="42"/>
      <c r="AP253" s="42"/>
      <c r="AQ253" s="115"/>
      <c r="AR253" s="75"/>
      <c r="AS253" s="40"/>
      <c r="AW253" s="42"/>
      <c r="AX253" s="42"/>
      <c r="AY253" s="42"/>
      <c r="AZ253" s="49"/>
      <c r="BA253" s="49"/>
      <c r="BB253" s="49"/>
      <c r="BC253" s="49"/>
      <c r="BD253" s="49"/>
      <c r="BE253" s="49"/>
    </row>
    <row r="254" spans="1:57" ht="39" hidden="1" x14ac:dyDescent="0.35">
      <c r="A254" s="120" t="s">
        <v>2641</v>
      </c>
      <c r="B254" s="120" t="s">
        <v>2233</v>
      </c>
      <c r="C254" s="121" t="s">
        <v>2629</v>
      </c>
      <c r="D254" s="121" t="s">
        <v>131</v>
      </c>
      <c r="E254" s="121">
        <v>500</v>
      </c>
      <c r="F254" s="121" t="s">
        <v>2630</v>
      </c>
      <c r="G254" s="189"/>
      <c r="H254" s="190"/>
      <c r="I254" s="191"/>
      <c r="J254" s="192"/>
      <c r="K254" s="193"/>
      <c r="L254" s="41"/>
      <c r="M254" s="165"/>
      <c r="N254" s="134"/>
      <c r="O254" s="45"/>
      <c r="P254" s="130"/>
      <c r="Q254" s="45"/>
      <c r="R254" s="136"/>
      <c r="S254" s="139"/>
      <c r="T254" s="136"/>
      <c r="U254" s="139"/>
      <c r="V254" s="45"/>
      <c r="W254" s="136"/>
      <c r="X254" s="134"/>
      <c r="Y254" s="166"/>
      <c r="Z254" s="126"/>
      <c r="AA254" s="130"/>
      <c r="AB254" s="126"/>
      <c r="AC254" s="130"/>
      <c r="AD254" s="126"/>
      <c r="AE254" s="130"/>
      <c r="AF254" s="126"/>
      <c r="AG254" s="43"/>
      <c r="AH254" s="44">
        <v>1</v>
      </c>
      <c r="AI254" s="45"/>
      <c r="AJ254" s="46"/>
      <c r="AK254" s="41"/>
      <c r="AL254" s="47"/>
      <c r="AM254" s="48"/>
      <c r="AN254" s="111"/>
      <c r="AO254" s="42"/>
      <c r="AP254" s="42"/>
      <c r="AQ254" s="115"/>
      <c r="AR254" s="75"/>
      <c r="AS254" s="40"/>
      <c r="AW254" s="42"/>
      <c r="AX254" s="42"/>
      <c r="AY254" s="42"/>
      <c r="AZ254" s="49"/>
      <c r="BA254" s="49"/>
      <c r="BB254" s="49"/>
      <c r="BC254" s="49"/>
      <c r="BD254" s="49"/>
      <c r="BE254" s="49"/>
    </row>
    <row r="255" spans="1:57" ht="26" hidden="1" x14ac:dyDescent="0.35">
      <c r="A255" s="120" t="s">
        <v>2641</v>
      </c>
      <c r="B255" s="120" t="s">
        <v>2233</v>
      </c>
      <c r="C255" s="121" t="s">
        <v>2634</v>
      </c>
      <c r="D255" s="121" t="s">
        <v>131</v>
      </c>
      <c r="E255" s="121">
        <v>800</v>
      </c>
      <c r="F255" s="121" t="s">
        <v>2635</v>
      </c>
      <c r="G255" s="189"/>
      <c r="H255" s="190"/>
      <c r="I255" s="191"/>
      <c r="J255" s="192"/>
      <c r="K255" s="193"/>
      <c r="L255" s="41"/>
      <c r="M255" s="165"/>
      <c r="N255" s="134"/>
      <c r="O255" s="45"/>
      <c r="P255" s="130"/>
      <c r="Q255" s="45"/>
      <c r="R255" s="136"/>
      <c r="S255" s="139"/>
      <c r="T255" s="136"/>
      <c r="U255" s="139"/>
      <c r="V255" s="45"/>
      <c r="W255" s="136"/>
      <c r="X255" s="134"/>
      <c r="Y255" s="166"/>
      <c r="Z255" s="126" t="s">
        <v>12</v>
      </c>
      <c r="AA255" s="130"/>
      <c r="AB255" s="126"/>
      <c r="AC255" s="130"/>
      <c r="AD255" s="126"/>
      <c r="AE255" s="130"/>
      <c r="AF255" s="126"/>
      <c r="AG255" s="43"/>
      <c r="AH255" s="44"/>
      <c r="AI255" s="45"/>
      <c r="AJ255" s="46"/>
      <c r="AK255" s="41">
        <v>1</v>
      </c>
      <c r="AL255" s="47"/>
      <c r="AM255" s="48"/>
      <c r="AN255" s="111"/>
      <c r="AO255" s="42"/>
      <c r="AP255" s="42"/>
      <c r="AQ255" s="115"/>
      <c r="AR255" s="75"/>
      <c r="AS255" s="40"/>
      <c r="AW255" s="42"/>
      <c r="AX255" s="42"/>
      <c r="AY255" s="42"/>
      <c r="AZ255" s="49"/>
      <c r="BA255" s="49"/>
      <c r="BB255" s="49"/>
      <c r="BC255" s="49"/>
      <c r="BD255" s="49"/>
      <c r="BE255" s="49"/>
    </row>
    <row r="256" spans="1:57" ht="26" hidden="1" x14ac:dyDescent="0.35">
      <c r="A256" s="120" t="s">
        <v>2641</v>
      </c>
      <c r="B256" s="120" t="s">
        <v>2233</v>
      </c>
      <c r="C256" s="121" t="s">
        <v>2240</v>
      </c>
      <c r="D256" s="121" t="s">
        <v>136</v>
      </c>
      <c r="E256" s="121"/>
      <c r="F256" s="121" t="s">
        <v>2241</v>
      </c>
      <c r="G256" s="189">
        <v>1</v>
      </c>
      <c r="H256" s="190">
        <v>1</v>
      </c>
      <c r="I256" s="191">
        <v>1</v>
      </c>
      <c r="J256" s="192"/>
      <c r="K256" s="193"/>
      <c r="L256" s="41"/>
      <c r="M256" s="165"/>
      <c r="N256" s="134"/>
      <c r="O256" s="45"/>
      <c r="P256" s="130"/>
      <c r="Q256" s="45"/>
      <c r="R256" s="136"/>
      <c r="S256" s="139"/>
      <c r="T256" s="136"/>
      <c r="U256" s="139" t="s">
        <v>12</v>
      </c>
      <c r="V256" s="45"/>
      <c r="W256" s="136"/>
      <c r="X256" s="134"/>
      <c r="Y256" s="166"/>
      <c r="Z256" s="126"/>
      <c r="AA256" s="130"/>
      <c r="AB256" s="126"/>
      <c r="AC256" s="130"/>
      <c r="AD256" s="126"/>
      <c r="AE256" s="130"/>
      <c r="AF256" s="126"/>
      <c r="AG256" s="43"/>
      <c r="AH256" s="44"/>
      <c r="AI256" s="45"/>
      <c r="AJ256" s="46"/>
      <c r="AK256" s="41"/>
      <c r="AL256" s="47"/>
      <c r="AM256" s="48"/>
      <c r="AN256" s="111"/>
      <c r="AO256" s="42"/>
      <c r="AP256" s="42"/>
      <c r="AQ256" s="115"/>
      <c r="AR256" s="75">
        <v>1</v>
      </c>
      <c r="AS256" s="40">
        <f>SUM(AG256:AR256)</f>
        <v>1</v>
      </c>
      <c r="AW256" s="42"/>
      <c r="AX256" s="42"/>
      <c r="AY256" s="42"/>
      <c r="AZ256" s="49"/>
      <c r="BA256" s="49"/>
      <c r="BB256" s="49"/>
      <c r="BC256" s="49"/>
      <c r="BD256" s="49"/>
      <c r="BE256" s="49"/>
    </row>
    <row r="257" spans="1:57" ht="26" hidden="1" x14ac:dyDescent="0.35">
      <c r="A257" s="120" t="s">
        <v>2641</v>
      </c>
      <c r="B257" s="120" t="s">
        <v>2233</v>
      </c>
      <c r="C257" s="121" t="s">
        <v>2631</v>
      </c>
      <c r="D257" s="121" t="s">
        <v>5</v>
      </c>
      <c r="E257" s="121">
        <v>600</v>
      </c>
      <c r="F257" s="121" t="s">
        <v>2384</v>
      </c>
      <c r="G257" s="85"/>
      <c r="H257" s="86"/>
      <c r="I257" s="87"/>
      <c r="J257" s="88"/>
      <c r="K257" s="89"/>
      <c r="L257" s="90"/>
      <c r="M257" s="165"/>
      <c r="N257" s="134"/>
      <c r="O257" s="45"/>
      <c r="P257" s="130"/>
      <c r="Q257" s="45"/>
      <c r="R257" s="136"/>
      <c r="S257" s="139"/>
      <c r="T257" s="136"/>
      <c r="U257" s="139"/>
      <c r="V257" s="45"/>
      <c r="W257" s="136"/>
      <c r="X257" s="134"/>
      <c r="Y257" s="166"/>
      <c r="Z257" s="126"/>
      <c r="AA257" s="130"/>
      <c r="AB257" s="126"/>
      <c r="AC257" s="130"/>
      <c r="AD257" s="126"/>
      <c r="AE257" s="130"/>
      <c r="AF257" s="126"/>
      <c r="AG257" s="43"/>
      <c r="AH257" s="44">
        <v>1</v>
      </c>
      <c r="AI257" s="45"/>
      <c r="AJ257" s="46"/>
      <c r="AK257" s="41"/>
      <c r="AL257" s="47"/>
      <c r="AM257" s="48"/>
      <c r="AN257" s="111"/>
      <c r="AO257" s="42"/>
      <c r="AP257" s="42"/>
      <c r="AQ257" s="115"/>
      <c r="AR257" s="75"/>
      <c r="AS257" s="40">
        <f>SUM(AG257:AR257)</f>
        <v>1</v>
      </c>
      <c r="AW257" s="42"/>
      <c r="AX257" s="42"/>
      <c r="AY257" s="42"/>
      <c r="AZ257" s="49"/>
      <c r="BA257" s="49"/>
      <c r="BB257" s="49"/>
      <c r="BC257" s="49"/>
      <c r="BD257" s="49"/>
      <c r="BE257" s="49"/>
    </row>
    <row r="258" spans="1:57" ht="52" hidden="1" x14ac:dyDescent="0.35">
      <c r="A258" s="120" t="s">
        <v>2641</v>
      </c>
      <c r="B258" s="120" t="s">
        <v>2233</v>
      </c>
      <c r="C258" s="121" t="s">
        <v>2237</v>
      </c>
      <c r="D258" s="121" t="s">
        <v>5</v>
      </c>
      <c r="E258" s="121">
        <v>600</v>
      </c>
      <c r="F258" s="121" t="s">
        <v>2638</v>
      </c>
      <c r="G258" s="189"/>
      <c r="H258" s="190"/>
      <c r="I258" s="191"/>
      <c r="J258" s="192"/>
      <c r="K258" s="193"/>
      <c r="L258" s="41"/>
      <c r="M258" s="165"/>
      <c r="N258" s="134"/>
      <c r="O258" s="45"/>
      <c r="P258" s="130"/>
      <c r="Q258" s="45"/>
      <c r="R258" s="136"/>
      <c r="S258" s="139"/>
      <c r="T258" s="136"/>
      <c r="U258" s="139"/>
      <c r="V258" s="45"/>
      <c r="W258" s="136"/>
      <c r="X258" s="134"/>
      <c r="Y258" s="166"/>
      <c r="Z258" s="126"/>
      <c r="AA258" s="130"/>
      <c r="AB258" s="126"/>
      <c r="AC258" s="130"/>
      <c r="AD258" s="126"/>
      <c r="AE258" s="130"/>
      <c r="AF258" s="126"/>
      <c r="AG258" s="43"/>
      <c r="AH258" s="44"/>
      <c r="AI258" s="45"/>
      <c r="AJ258" s="46"/>
      <c r="AK258" s="41"/>
      <c r="AL258" s="47"/>
      <c r="AM258" s="48">
        <v>1</v>
      </c>
      <c r="AN258" s="111"/>
      <c r="AO258" s="42"/>
      <c r="AP258" s="42"/>
      <c r="AQ258" s="115"/>
      <c r="AR258" s="75"/>
      <c r="AS258" s="40">
        <f>SUM(AG258:AR258)</f>
        <v>1</v>
      </c>
      <c r="AW258" s="42"/>
      <c r="AX258" s="42"/>
      <c r="AY258" s="42"/>
      <c r="AZ258" s="49"/>
      <c r="BA258" s="49"/>
      <c r="BB258" s="49"/>
      <c r="BC258" s="49"/>
      <c r="BD258" s="49"/>
      <c r="BE258" s="49"/>
    </row>
    <row r="259" spans="1:57" ht="39" hidden="1" x14ac:dyDescent="0.35">
      <c r="A259" s="120" t="s">
        <v>2641</v>
      </c>
      <c r="B259" s="120" t="s">
        <v>2233</v>
      </c>
      <c r="C259" s="121" t="s">
        <v>2632</v>
      </c>
      <c r="D259" s="121" t="s">
        <v>5</v>
      </c>
      <c r="E259" s="121">
        <v>600</v>
      </c>
      <c r="F259" s="121" t="s">
        <v>2633</v>
      </c>
      <c r="G259" s="189"/>
      <c r="H259" s="190"/>
      <c r="I259" s="191"/>
      <c r="J259" s="192"/>
      <c r="K259" s="193"/>
      <c r="L259" s="41"/>
      <c r="M259" s="165"/>
      <c r="N259" s="134"/>
      <c r="O259" s="45"/>
      <c r="P259" s="130"/>
      <c r="Q259" s="45"/>
      <c r="R259" s="136"/>
      <c r="S259" s="139"/>
      <c r="T259" s="136"/>
      <c r="U259" s="139"/>
      <c r="V259" s="45"/>
      <c r="W259" s="136"/>
      <c r="X259" s="134"/>
      <c r="Y259" s="166"/>
      <c r="Z259" s="126"/>
      <c r="AA259" s="130"/>
      <c r="AB259" s="126"/>
      <c r="AC259" s="130"/>
      <c r="AD259" s="126"/>
      <c r="AE259" s="130"/>
      <c r="AF259" s="126"/>
      <c r="AG259" s="43">
        <v>1</v>
      </c>
      <c r="AH259" s="44"/>
      <c r="AI259" s="45"/>
      <c r="AJ259" s="46"/>
      <c r="AK259" s="41"/>
      <c r="AL259" s="47"/>
      <c r="AM259" s="48"/>
      <c r="AN259" s="111"/>
      <c r="AO259" s="42"/>
      <c r="AP259" s="42"/>
      <c r="AQ259" s="115"/>
      <c r="AR259" s="75"/>
      <c r="AS259" s="40"/>
      <c r="AW259" s="42"/>
      <c r="AX259" s="42"/>
      <c r="AY259" s="42"/>
      <c r="AZ259" s="49"/>
      <c r="BA259" s="49"/>
      <c r="BB259" s="49"/>
      <c r="BC259" s="49"/>
      <c r="BD259" s="49"/>
      <c r="BE259" s="49"/>
    </row>
    <row r="260" spans="1:57" ht="26" hidden="1" x14ac:dyDescent="0.35">
      <c r="A260" s="120" t="s">
        <v>2641</v>
      </c>
      <c r="B260" s="120" t="s">
        <v>2059</v>
      </c>
      <c r="C260" s="121" t="s">
        <v>1807</v>
      </c>
      <c r="D260" s="121" t="s">
        <v>8</v>
      </c>
      <c r="E260" s="121">
        <v>200</v>
      </c>
      <c r="F260" s="121" t="s">
        <v>2335</v>
      </c>
      <c r="G260" s="85"/>
      <c r="H260" s="86">
        <v>2</v>
      </c>
      <c r="I260" s="87"/>
      <c r="J260" s="88"/>
      <c r="K260" s="89"/>
      <c r="L260" s="90"/>
      <c r="M260" s="165"/>
      <c r="N260" s="134"/>
      <c r="O260" s="45"/>
      <c r="P260" s="130"/>
      <c r="Q260" s="45"/>
      <c r="R260" s="136" t="s">
        <v>12</v>
      </c>
      <c r="S260" s="139"/>
      <c r="T260" s="136"/>
      <c r="U260" s="139"/>
      <c r="V260" s="45"/>
      <c r="W260" s="136"/>
      <c r="X260" s="134"/>
      <c r="Y260" s="166"/>
      <c r="Z260" s="126"/>
      <c r="AA260" s="130"/>
      <c r="AB260" s="126"/>
      <c r="AC260" s="130"/>
      <c r="AD260" s="126"/>
      <c r="AE260" s="130"/>
      <c r="AF260" s="126"/>
      <c r="AG260" s="43"/>
      <c r="AH260" s="44">
        <v>1</v>
      </c>
      <c r="AI260" s="45"/>
      <c r="AJ260" s="46"/>
      <c r="AK260" s="41"/>
      <c r="AL260" s="47"/>
      <c r="AM260" s="48"/>
      <c r="AN260" s="111"/>
      <c r="AO260" s="42"/>
      <c r="AP260" s="42"/>
      <c r="AQ260" s="115"/>
      <c r="AR260" s="75"/>
      <c r="AS260" s="40">
        <f t="shared" ref="AS260:AS323" si="29">SUM(AG260:AR260)</f>
        <v>1</v>
      </c>
      <c r="AW260" s="42">
        <f>SUM(E260-(AX260*100))</f>
        <v>0</v>
      </c>
      <c r="AX260" s="42">
        <f>SUM(AY260:BE260)</f>
        <v>2</v>
      </c>
      <c r="AY260" s="42">
        <f>SUM(G260:I260)</f>
        <v>2</v>
      </c>
      <c r="AZ260" s="49">
        <f>SUM(0-COUNTA(J260:L260))</f>
        <v>0</v>
      </c>
      <c r="BA260" s="49">
        <f>COUNTA(#REF!)</f>
        <v>1</v>
      </c>
      <c r="BB260" s="49">
        <f>COUNTA(Z260:AF260)</f>
        <v>0</v>
      </c>
      <c r="BC260" s="49"/>
      <c r="BD260" s="49"/>
      <c r="BE260" s="49">
        <v>-1</v>
      </c>
    </row>
    <row r="261" spans="1:57" ht="39" hidden="1" x14ac:dyDescent="0.35">
      <c r="A261" s="120" t="s">
        <v>2641</v>
      </c>
      <c r="B261" s="120" t="s">
        <v>2059</v>
      </c>
      <c r="C261" s="121" t="s">
        <v>1808</v>
      </c>
      <c r="D261" s="121" t="s">
        <v>8</v>
      </c>
      <c r="E261" s="121">
        <v>200</v>
      </c>
      <c r="F261" s="121" t="s">
        <v>2334</v>
      </c>
      <c r="G261" s="85">
        <v>1</v>
      </c>
      <c r="H261" s="86"/>
      <c r="I261" s="87">
        <v>1</v>
      </c>
      <c r="J261" s="88" t="s">
        <v>12</v>
      </c>
      <c r="K261" s="89"/>
      <c r="L261" s="90"/>
      <c r="M261" s="165"/>
      <c r="N261" s="134"/>
      <c r="O261" s="45"/>
      <c r="P261" s="130"/>
      <c r="Q261" s="45" t="s">
        <v>12</v>
      </c>
      <c r="R261" s="136"/>
      <c r="S261" s="139"/>
      <c r="T261" s="136"/>
      <c r="U261" s="139"/>
      <c r="V261" s="45"/>
      <c r="W261" s="136"/>
      <c r="X261" s="134"/>
      <c r="Y261" s="166"/>
      <c r="Z261" s="126"/>
      <c r="AA261" s="130"/>
      <c r="AB261" s="126"/>
      <c r="AC261" s="130"/>
      <c r="AD261" s="126"/>
      <c r="AE261" s="130"/>
      <c r="AF261" s="126"/>
      <c r="AG261" s="43"/>
      <c r="AH261" s="44"/>
      <c r="AI261" s="45">
        <v>1</v>
      </c>
      <c r="AJ261" s="46"/>
      <c r="AK261" s="41"/>
      <c r="AL261" s="47"/>
      <c r="AM261" s="48"/>
      <c r="AN261" s="111"/>
      <c r="AO261" s="42"/>
      <c r="AP261" s="42"/>
      <c r="AQ261" s="115"/>
      <c r="AR261" s="75"/>
      <c r="AS261" s="40">
        <f t="shared" si="29"/>
        <v>1</v>
      </c>
      <c r="AW261" s="42">
        <f>SUM(E261-(AX261*100))</f>
        <v>100</v>
      </c>
      <c r="AX261" s="42">
        <f>SUM(AY261:BE261)</f>
        <v>1</v>
      </c>
      <c r="AY261" s="42">
        <f>SUM(G261:I261)</f>
        <v>2</v>
      </c>
      <c r="AZ261" s="49">
        <f>SUM(0-COUNTA(J261:L261))</f>
        <v>-1</v>
      </c>
      <c r="BA261" s="49">
        <f>COUNTA(#REF!)</f>
        <v>1</v>
      </c>
      <c r="BB261" s="49">
        <f>COUNTA(Z261:AF261)</f>
        <v>0</v>
      </c>
      <c r="BC261" s="49"/>
      <c r="BD261" s="49"/>
      <c r="BE261" s="49">
        <v>-1</v>
      </c>
    </row>
    <row r="262" spans="1:57" hidden="1" x14ac:dyDescent="0.35">
      <c r="A262" s="120" t="s">
        <v>2641</v>
      </c>
      <c r="B262" s="120" t="s">
        <v>2059</v>
      </c>
      <c r="C262" s="121" t="s">
        <v>1801</v>
      </c>
      <c r="D262" s="121" t="s">
        <v>8</v>
      </c>
      <c r="E262" s="121">
        <v>200</v>
      </c>
      <c r="F262" s="121" t="s">
        <v>1802</v>
      </c>
      <c r="G262" s="85"/>
      <c r="H262" s="86">
        <v>1</v>
      </c>
      <c r="I262" s="87">
        <v>1</v>
      </c>
      <c r="J262" s="88" t="s">
        <v>12</v>
      </c>
      <c r="K262" s="89"/>
      <c r="L262" s="90"/>
      <c r="M262" s="165"/>
      <c r="N262" s="134"/>
      <c r="O262" s="45"/>
      <c r="P262" s="130"/>
      <c r="Q262" s="45"/>
      <c r="R262" s="136"/>
      <c r="S262" s="139"/>
      <c r="T262" s="136"/>
      <c r="U262" s="139"/>
      <c r="V262" s="45"/>
      <c r="W262" s="136"/>
      <c r="X262" s="134"/>
      <c r="Y262" s="166"/>
      <c r="Z262" s="126"/>
      <c r="AA262" s="130"/>
      <c r="AB262" s="126"/>
      <c r="AC262" s="130"/>
      <c r="AD262" s="126"/>
      <c r="AE262" s="130"/>
      <c r="AF262" s="126"/>
      <c r="AG262" s="43">
        <v>1</v>
      </c>
      <c r="AH262" s="44"/>
      <c r="AI262" s="45"/>
      <c r="AJ262" s="46"/>
      <c r="AK262" s="41"/>
      <c r="AL262" s="47"/>
      <c r="AM262" s="48"/>
      <c r="AN262" s="111"/>
      <c r="AO262" s="42"/>
      <c r="AP262" s="42"/>
      <c r="AQ262" s="115"/>
      <c r="AR262" s="75"/>
      <c r="AS262" s="40">
        <f t="shared" si="29"/>
        <v>1</v>
      </c>
      <c r="AW262" s="42">
        <f>SUM(E262-(AX262*100))</f>
        <v>100</v>
      </c>
      <c r="AX262" s="42">
        <f>SUM(AY262:BE262)</f>
        <v>1</v>
      </c>
      <c r="AY262" s="42">
        <f>SUM(G262:I262)</f>
        <v>2</v>
      </c>
      <c r="AZ262" s="49">
        <f>SUM(0-COUNTA(J262:L262))</f>
        <v>-1</v>
      </c>
      <c r="BA262" s="49">
        <f>COUNTA(#REF!)</f>
        <v>1</v>
      </c>
      <c r="BB262" s="49">
        <f>COUNTA(Z262:AF262)</f>
        <v>0</v>
      </c>
      <c r="BC262" s="49"/>
      <c r="BD262" s="49"/>
      <c r="BE262" s="49">
        <v>-1</v>
      </c>
    </row>
    <row r="263" spans="1:57" ht="26" hidden="1" x14ac:dyDescent="0.35">
      <c r="A263" s="120" t="s">
        <v>2641</v>
      </c>
      <c r="B263" s="120" t="s">
        <v>2059</v>
      </c>
      <c r="C263" s="121" t="s">
        <v>1800</v>
      </c>
      <c r="D263" s="121" t="s">
        <v>8</v>
      </c>
      <c r="E263" s="121">
        <v>200</v>
      </c>
      <c r="F263" s="121" t="s">
        <v>2333</v>
      </c>
      <c r="G263" s="85"/>
      <c r="H263" s="86">
        <v>2</v>
      </c>
      <c r="I263" s="87"/>
      <c r="J263" s="88" t="s">
        <v>12</v>
      </c>
      <c r="K263" s="89"/>
      <c r="L263" s="90"/>
      <c r="M263" s="165"/>
      <c r="N263" s="134"/>
      <c r="O263" s="45"/>
      <c r="P263" s="130"/>
      <c r="Q263" s="45"/>
      <c r="R263" s="136"/>
      <c r="S263" s="139"/>
      <c r="T263" s="136"/>
      <c r="U263" s="139" t="s">
        <v>12</v>
      </c>
      <c r="V263" s="45"/>
      <c r="W263" s="136"/>
      <c r="X263" s="134"/>
      <c r="Y263" s="166"/>
      <c r="Z263" s="126"/>
      <c r="AA263" s="130"/>
      <c r="AB263" s="126"/>
      <c r="AC263" s="130"/>
      <c r="AD263" s="126"/>
      <c r="AE263" s="130"/>
      <c r="AF263" s="126"/>
      <c r="AG263" s="43">
        <v>1</v>
      </c>
      <c r="AH263" s="44"/>
      <c r="AI263" s="45"/>
      <c r="AJ263" s="46"/>
      <c r="AK263" s="41"/>
      <c r="AL263" s="47"/>
      <c r="AM263" s="48"/>
      <c r="AN263" s="111"/>
      <c r="AO263" s="42"/>
      <c r="AP263" s="42"/>
      <c r="AQ263" s="115"/>
      <c r="AR263" s="75"/>
      <c r="AS263" s="40">
        <f t="shared" si="29"/>
        <v>1</v>
      </c>
      <c r="AW263" s="42">
        <f>SUM(E263-(AX263*100))</f>
        <v>100</v>
      </c>
      <c r="AX263" s="42">
        <f>SUM(AY263:BE263)</f>
        <v>1</v>
      </c>
      <c r="AY263" s="42">
        <f>SUM(G263:I263)</f>
        <v>2</v>
      </c>
      <c r="AZ263" s="49">
        <f>SUM(0-COUNTA(J263:L263))</f>
        <v>-1</v>
      </c>
      <c r="BA263" s="49">
        <f>COUNTA(#REF!)</f>
        <v>1</v>
      </c>
      <c r="BB263" s="49">
        <f>COUNTA(Z263:AF263)</f>
        <v>0</v>
      </c>
      <c r="BC263" s="49"/>
      <c r="BD263" s="49"/>
      <c r="BE263" s="49">
        <v>-1</v>
      </c>
    </row>
    <row r="264" spans="1:57" ht="39" hidden="1" x14ac:dyDescent="0.35">
      <c r="A264" s="120" t="s">
        <v>2641</v>
      </c>
      <c r="B264" s="120" t="s">
        <v>2059</v>
      </c>
      <c r="C264" s="121" t="s">
        <v>2366</v>
      </c>
      <c r="D264" s="121" t="s">
        <v>736</v>
      </c>
      <c r="E264" s="121"/>
      <c r="F264" s="121" t="s">
        <v>1829</v>
      </c>
      <c r="G264" s="85"/>
      <c r="H264" s="86"/>
      <c r="I264" s="87"/>
      <c r="J264" s="88"/>
      <c r="K264" s="89"/>
      <c r="L264" s="90"/>
      <c r="M264" s="165"/>
      <c r="N264" s="134"/>
      <c r="O264" s="45"/>
      <c r="P264" s="130"/>
      <c r="Q264" s="45"/>
      <c r="R264" s="136"/>
      <c r="S264" s="139"/>
      <c r="T264" s="136"/>
      <c r="U264" s="139"/>
      <c r="V264" s="45"/>
      <c r="W264" s="136"/>
      <c r="X264" s="134"/>
      <c r="Y264" s="166"/>
      <c r="Z264" s="126"/>
      <c r="AA264" s="130"/>
      <c r="AB264" s="126"/>
      <c r="AC264" s="130"/>
      <c r="AD264" s="126"/>
      <c r="AE264" s="130"/>
      <c r="AF264" s="126"/>
      <c r="AG264" s="43"/>
      <c r="AH264" s="44"/>
      <c r="AI264" s="45"/>
      <c r="AJ264" s="46"/>
      <c r="AK264" s="41"/>
      <c r="AL264" s="47"/>
      <c r="AM264" s="48"/>
      <c r="AN264" s="111"/>
      <c r="AO264" s="42"/>
      <c r="AP264" s="42"/>
      <c r="AQ264" s="115"/>
      <c r="AR264" s="75">
        <v>1</v>
      </c>
      <c r="AS264" s="40">
        <f t="shared" si="29"/>
        <v>1</v>
      </c>
      <c r="AW264" s="42"/>
      <c r="AX264" s="42"/>
      <c r="AY264" s="42"/>
      <c r="AZ264" s="49"/>
      <c r="BA264" s="49"/>
      <c r="BB264" s="49"/>
      <c r="BC264" s="49"/>
      <c r="BD264" s="49"/>
      <c r="BE264" s="49"/>
    </row>
    <row r="265" spans="1:57" ht="26" hidden="1" x14ac:dyDescent="0.35">
      <c r="A265" s="120" t="s">
        <v>2641</v>
      </c>
      <c r="B265" s="120" t="s">
        <v>2059</v>
      </c>
      <c r="C265" s="121" t="s">
        <v>1803</v>
      </c>
      <c r="D265" s="121" t="s">
        <v>131</v>
      </c>
      <c r="E265" s="121">
        <v>800</v>
      </c>
      <c r="F265" s="122" t="s">
        <v>2627</v>
      </c>
      <c r="G265" s="85">
        <v>1</v>
      </c>
      <c r="H265" s="86"/>
      <c r="I265" s="87"/>
      <c r="J265" s="88"/>
      <c r="K265" s="89"/>
      <c r="L265" s="90"/>
      <c r="M265" s="165"/>
      <c r="N265" s="134"/>
      <c r="O265" s="45"/>
      <c r="P265" s="130"/>
      <c r="Q265" s="45"/>
      <c r="R265" s="136"/>
      <c r="S265" s="139"/>
      <c r="T265" s="136"/>
      <c r="U265" s="139"/>
      <c r="V265" s="45"/>
      <c r="W265" s="136"/>
      <c r="X265" s="134"/>
      <c r="Y265" s="166"/>
      <c r="Z265" s="126"/>
      <c r="AA265" s="130"/>
      <c r="AB265" s="126"/>
      <c r="AC265" s="130"/>
      <c r="AD265" s="126"/>
      <c r="AE265" s="130"/>
      <c r="AF265" s="126"/>
      <c r="AG265" s="43"/>
      <c r="AH265" s="44"/>
      <c r="AI265" s="45"/>
      <c r="AJ265" s="46">
        <v>1</v>
      </c>
      <c r="AK265" s="41"/>
      <c r="AL265" s="47"/>
      <c r="AM265" s="48"/>
      <c r="AN265" s="111"/>
      <c r="AO265" s="42"/>
      <c r="AP265" s="42"/>
      <c r="AQ265" s="115"/>
      <c r="AR265" s="75"/>
      <c r="AS265" s="40">
        <f t="shared" si="29"/>
        <v>1</v>
      </c>
      <c r="AW265" s="42"/>
      <c r="AX265" s="42"/>
      <c r="AY265" s="42"/>
      <c r="AZ265" s="49"/>
      <c r="BA265" s="49"/>
      <c r="BB265" s="49"/>
      <c r="BC265" s="49"/>
      <c r="BD265" s="49"/>
      <c r="BE265" s="49"/>
    </row>
    <row r="266" spans="1:57" ht="26" hidden="1" x14ac:dyDescent="0.35">
      <c r="A266" s="120" t="s">
        <v>2641</v>
      </c>
      <c r="B266" s="120" t="s">
        <v>2059</v>
      </c>
      <c r="C266" s="121" t="s">
        <v>1809</v>
      </c>
      <c r="D266" s="121" t="s">
        <v>131</v>
      </c>
      <c r="E266" s="121">
        <v>600</v>
      </c>
      <c r="F266" s="121" t="s">
        <v>1833</v>
      </c>
      <c r="G266" s="85"/>
      <c r="H266" s="86"/>
      <c r="I266" s="87"/>
      <c r="J266" s="88"/>
      <c r="K266" s="89"/>
      <c r="L266" s="90"/>
      <c r="M266" s="165"/>
      <c r="N266" s="134"/>
      <c r="O266" s="45"/>
      <c r="P266" s="130"/>
      <c r="Q266" s="45"/>
      <c r="R266" s="136"/>
      <c r="S266" s="139"/>
      <c r="T266" s="136"/>
      <c r="U266" s="139"/>
      <c r="V266" s="45"/>
      <c r="W266" s="136"/>
      <c r="X266" s="134"/>
      <c r="Y266" s="166"/>
      <c r="Z266" s="126"/>
      <c r="AA266" s="130"/>
      <c r="AB266" s="126"/>
      <c r="AC266" s="130"/>
      <c r="AD266" s="126"/>
      <c r="AE266" s="130"/>
      <c r="AF266" s="126"/>
      <c r="AG266" s="43"/>
      <c r="AH266" s="44"/>
      <c r="AI266" s="45">
        <v>1</v>
      </c>
      <c r="AJ266" s="46"/>
      <c r="AK266" s="41"/>
      <c r="AL266" s="47"/>
      <c r="AM266" s="48"/>
      <c r="AN266" s="111"/>
      <c r="AO266" s="42"/>
      <c r="AP266" s="42"/>
      <c r="AQ266" s="115"/>
      <c r="AR266" s="75"/>
      <c r="AS266" s="40">
        <f t="shared" si="29"/>
        <v>1</v>
      </c>
      <c r="AW266" s="49"/>
      <c r="AX266" s="49"/>
      <c r="AY266" s="49"/>
      <c r="AZ266" s="49"/>
      <c r="BA266" s="49"/>
      <c r="BB266" s="49"/>
      <c r="BC266" s="49"/>
      <c r="BD266" s="49"/>
      <c r="BE266" s="49"/>
    </row>
    <row r="267" spans="1:57" ht="39" hidden="1" x14ac:dyDescent="0.35">
      <c r="A267" s="120" t="s">
        <v>2641</v>
      </c>
      <c r="B267" s="120" t="s">
        <v>2059</v>
      </c>
      <c r="C267" s="121" t="s">
        <v>1810</v>
      </c>
      <c r="D267" s="121" t="s">
        <v>131</v>
      </c>
      <c r="E267" s="121">
        <v>600</v>
      </c>
      <c r="F267" s="121" t="s">
        <v>2336</v>
      </c>
      <c r="G267" s="85"/>
      <c r="H267" s="86"/>
      <c r="I267" s="87"/>
      <c r="J267" s="88"/>
      <c r="K267" s="89"/>
      <c r="L267" s="90"/>
      <c r="M267" s="165"/>
      <c r="N267" s="134"/>
      <c r="O267" s="45"/>
      <c r="P267" s="130"/>
      <c r="Q267" s="45"/>
      <c r="R267" s="136"/>
      <c r="S267" s="139"/>
      <c r="T267" s="136"/>
      <c r="U267" s="139"/>
      <c r="V267" s="45"/>
      <c r="W267" s="136"/>
      <c r="X267" s="134"/>
      <c r="Y267" s="166"/>
      <c r="Z267" s="126"/>
      <c r="AA267" s="130"/>
      <c r="AB267" s="126"/>
      <c r="AC267" s="130"/>
      <c r="AD267" s="126"/>
      <c r="AE267" s="130"/>
      <c r="AF267" s="126"/>
      <c r="AG267" s="43"/>
      <c r="AH267" s="44"/>
      <c r="AI267" s="45">
        <v>1</v>
      </c>
      <c r="AJ267" s="46"/>
      <c r="AK267" s="41"/>
      <c r="AL267" s="47"/>
      <c r="AM267" s="48"/>
      <c r="AN267" s="111"/>
      <c r="AO267" s="42"/>
      <c r="AP267" s="42"/>
      <c r="AQ267" s="115"/>
      <c r="AR267" s="75"/>
      <c r="AS267" s="40">
        <f t="shared" si="29"/>
        <v>1</v>
      </c>
      <c r="AW267" s="49"/>
      <c r="AX267" s="49"/>
      <c r="AY267" s="49"/>
      <c r="AZ267" s="49"/>
      <c r="BA267" s="49"/>
      <c r="BB267" s="49"/>
      <c r="BC267" s="49"/>
      <c r="BD267" s="49"/>
      <c r="BE267" s="49"/>
    </row>
    <row r="268" spans="1:57" ht="26" hidden="1" x14ac:dyDescent="0.35">
      <c r="A268" s="120" t="s">
        <v>2641</v>
      </c>
      <c r="B268" s="120" t="s">
        <v>2059</v>
      </c>
      <c r="C268" s="121" t="s">
        <v>1804</v>
      </c>
      <c r="D268" s="121" t="s">
        <v>131</v>
      </c>
      <c r="E268" s="121">
        <v>400</v>
      </c>
      <c r="F268" s="121" t="s">
        <v>2337</v>
      </c>
      <c r="G268" s="85"/>
      <c r="H268" s="86"/>
      <c r="I268" s="87"/>
      <c r="J268" s="88"/>
      <c r="K268" s="89"/>
      <c r="L268" s="90"/>
      <c r="M268" s="165"/>
      <c r="N268" s="134"/>
      <c r="O268" s="45"/>
      <c r="P268" s="130"/>
      <c r="Q268" s="45"/>
      <c r="R268" s="136"/>
      <c r="S268" s="139"/>
      <c r="T268" s="136"/>
      <c r="U268" s="139"/>
      <c r="V268" s="45"/>
      <c r="W268" s="136"/>
      <c r="X268" s="134"/>
      <c r="Y268" s="166"/>
      <c r="Z268" s="126"/>
      <c r="AA268" s="130"/>
      <c r="AB268" s="126"/>
      <c r="AC268" s="130"/>
      <c r="AD268" s="126"/>
      <c r="AE268" s="130"/>
      <c r="AF268" s="126"/>
      <c r="AG268" s="43">
        <v>1</v>
      </c>
      <c r="AH268" s="44"/>
      <c r="AI268" s="45"/>
      <c r="AJ268" s="46"/>
      <c r="AK268" s="41"/>
      <c r="AL268" s="47"/>
      <c r="AM268" s="48"/>
      <c r="AN268" s="111"/>
      <c r="AO268" s="42"/>
      <c r="AP268" s="42"/>
      <c r="AQ268" s="115"/>
      <c r="AR268" s="75"/>
      <c r="AS268" s="40">
        <f t="shared" si="29"/>
        <v>1</v>
      </c>
      <c r="AW268" s="49"/>
      <c r="AX268" s="49"/>
      <c r="AY268" s="49"/>
      <c r="AZ268" s="49"/>
      <c r="BA268" s="49"/>
      <c r="BB268" s="49"/>
      <c r="BC268" s="49"/>
      <c r="BD268" s="49"/>
      <c r="BE268" s="49"/>
    </row>
    <row r="269" spans="1:57" ht="26" hidden="1" x14ac:dyDescent="0.35">
      <c r="A269" s="120" t="s">
        <v>2641</v>
      </c>
      <c r="B269" s="120" t="s">
        <v>2059</v>
      </c>
      <c r="C269" s="121" t="s">
        <v>1799</v>
      </c>
      <c r="D269" s="121" t="s">
        <v>136</v>
      </c>
      <c r="E269" s="121"/>
      <c r="F269" s="121" t="s">
        <v>2626</v>
      </c>
      <c r="G269" s="85"/>
      <c r="H269" s="86">
        <v>1</v>
      </c>
      <c r="I269" s="87">
        <v>2</v>
      </c>
      <c r="J269" s="88" t="s">
        <v>12</v>
      </c>
      <c r="K269" s="89"/>
      <c r="L269" s="90"/>
      <c r="M269" s="165"/>
      <c r="N269" s="134"/>
      <c r="O269" s="45"/>
      <c r="P269" s="130" t="s">
        <v>12</v>
      </c>
      <c r="Q269" s="45"/>
      <c r="R269" s="136"/>
      <c r="S269" s="139"/>
      <c r="T269" s="136"/>
      <c r="U269" s="139"/>
      <c r="V269" s="45" t="s">
        <v>12</v>
      </c>
      <c r="W269" s="136"/>
      <c r="X269" s="134"/>
      <c r="Y269" s="166"/>
      <c r="Z269" s="126"/>
      <c r="AA269" s="130"/>
      <c r="AB269" s="126"/>
      <c r="AC269" s="130"/>
      <c r="AD269" s="126"/>
      <c r="AE269" s="130"/>
      <c r="AF269" s="126"/>
      <c r="AG269" s="43"/>
      <c r="AH269" s="44"/>
      <c r="AI269" s="45"/>
      <c r="AJ269" s="46"/>
      <c r="AK269" s="41"/>
      <c r="AL269" s="47"/>
      <c r="AM269" s="48"/>
      <c r="AN269" s="111"/>
      <c r="AO269" s="42"/>
      <c r="AP269" s="42"/>
      <c r="AQ269" s="115"/>
      <c r="AR269" s="75">
        <v>1</v>
      </c>
      <c r="AS269" s="40">
        <f t="shared" si="29"/>
        <v>1</v>
      </c>
      <c r="AW269" s="49"/>
      <c r="AX269" s="49"/>
      <c r="AY269" s="49"/>
      <c r="AZ269" s="49"/>
      <c r="BA269" s="49"/>
      <c r="BB269" s="49"/>
      <c r="BC269" s="49"/>
      <c r="BD269" s="49"/>
      <c r="BE269" s="49"/>
    </row>
    <row r="270" spans="1:57" hidden="1" x14ac:dyDescent="0.35">
      <c r="A270" s="120" t="s">
        <v>2641</v>
      </c>
      <c r="B270" s="120" t="s">
        <v>2059</v>
      </c>
      <c r="C270" s="121" t="s">
        <v>1805</v>
      </c>
      <c r="D270" s="121" t="s">
        <v>5</v>
      </c>
      <c r="E270" s="121">
        <v>600</v>
      </c>
      <c r="F270" s="121" t="s">
        <v>1806</v>
      </c>
      <c r="G270" s="85"/>
      <c r="H270" s="86"/>
      <c r="I270" s="87"/>
      <c r="J270" s="88"/>
      <c r="K270" s="89"/>
      <c r="L270" s="90"/>
      <c r="M270" s="165"/>
      <c r="N270" s="134"/>
      <c r="O270" s="45"/>
      <c r="P270" s="130"/>
      <c r="Q270" s="45"/>
      <c r="R270" s="136"/>
      <c r="S270" s="139"/>
      <c r="T270" s="136"/>
      <c r="U270" s="139"/>
      <c r="V270" s="45"/>
      <c r="W270" s="136"/>
      <c r="X270" s="134"/>
      <c r="Y270" s="166"/>
      <c r="Z270" s="126"/>
      <c r="AA270" s="130"/>
      <c r="AB270" s="126"/>
      <c r="AC270" s="130"/>
      <c r="AD270" s="126"/>
      <c r="AE270" s="130"/>
      <c r="AF270" s="126"/>
      <c r="AG270" s="43"/>
      <c r="AH270" s="44">
        <v>1</v>
      </c>
      <c r="AI270" s="45"/>
      <c r="AJ270" s="46">
        <v>1</v>
      </c>
      <c r="AK270" s="41"/>
      <c r="AL270" s="47"/>
      <c r="AM270" s="48"/>
      <c r="AN270" s="111"/>
      <c r="AO270" s="42"/>
      <c r="AP270" s="42"/>
      <c r="AQ270" s="115"/>
      <c r="AR270" s="75"/>
      <c r="AS270" s="40">
        <f t="shared" si="29"/>
        <v>2</v>
      </c>
      <c r="AZ270" s="49"/>
      <c r="BA270" s="49"/>
      <c r="BB270" s="49"/>
      <c r="BC270" s="49"/>
      <c r="BD270" s="49"/>
      <c r="BE270" s="49"/>
    </row>
    <row r="271" spans="1:57" ht="26.5" hidden="1" thickTop="1" x14ac:dyDescent="0.35">
      <c r="A271" s="194" t="s">
        <v>2642</v>
      </c>
      <c r="B271" s="194" t="s">
        <v>2060</v>
      </c>
      <c r="C271" s="195" t="s">
        <v>47</v>
      </c>
      <c r="D271" s="195" t="s">
        <v>8</v>
      </c>
      <c r="E271" s="195">
        <v>200</v>
      </c>
      <c r="F271" s="195" t="s">
        <v>49</v>
      </c>
      <c r="G271" s="85">
        <v>1</v>
      </c>
      <c r="H271" s="86"/>
      <c r="I271" s="87">
        <v>1</v>
      </c>
      <c r="J271" s="88"/>
      <c r="K271" s="89"/>
      <c r="L271" s="90" t="s">
        <v>12</v>
      </c>
      <c r="M271" s="165"/>
      <c r="N271" s="134"/>
      <c r="O271" s="45"/>
      <c r="P271" s="130" t="s">
        <v>12</v>
      </c>
      <c r="Q271" s="45"/>
      <c r="R271" s="136"/>
      <c r="S271" s="139"/>
      <c r="T271" s="136"/>
      <c r="U271" s="139"/>
      <c r="V271" s="45"/>
      <c r="W271" s="136"/>
      <c r="X271" s="134"/>
      <c r="Y271" s="166"/>
      <c r="Z271" s="126"/>
      <c r="AA271" s="130"/>
      <c r="AB271" s="126"/>
      <c r="AC271" s="130"/>
      <c r="AD271" s="126"/>
      <c r="AE271" s="130"/>
      <c r="AF271" s="126"/>
      <c r="AG271" s="43">
        <v>1</v>
      </c>
      <c r="AH271" s="44"/>
      <c r="AI271" s="45"/>
      <c r="AJ271" s="46"/>
      <c r="AK271" s="41"/>
      <c r="AL271" s="47"/>
      <c r="AM271" s="48"/>
      <c r="AN271" s="111"/>
      <c r="AO271" s="42"/>
      <c r="AP271" s="42"/>
      <c r="AQ271" s="115"/>
      <c r="AR271" s="75"/>
      <c r="AS271" s="40">
        <f t="shared" si="29"/>
        <v>1</v>
      </c>
      <c r="AT271" s="31" t="s">
        <v>1755</v>
      </c>
      <c r="AW271" s="50">
        <f>SUM(E271-(AX271*100))</f>
        <v>0</v>
      </c>
      <c r="AX271" s="50">
        <f>SUM(AY271:BE271)</f>
        <v>2</v>
      </c>
      <c r="AY271" s="50">
        <f>SUM(G271:I271)</f>
        <v>2</v>
      </c>
      <c r="AZ271" s="49">
        <f>SUM(0-COUNTA(J271:L271))</f>
        <v>-1</v>
      </c>
      <c r="BA271" s="49">
        <f>COUNTA(#REF!)</f>
        <v>1</v>
      </c>
      <c r="BB271" s="49">
        <f>COUNTA(Z271:AF271)</f>
        <v>0</v>
      </c>
      <c r="BC271" s="49"/>
      <c r="BD271" s="49"/>
      <c r="BE271" s="49">
        <v>0</v>
      </c>
    </row>
    <row r="272" spans="1:57" ht="26" hidden="1" x14ac:dyDescent="0.35">
      <c r="A272" s="194" t="s">
        <v>2642</v>
      </c>
      <c r="B272" s="194" t="s">
        <v>2060</v>
      </c>
      <c r="C272" s="195" t="s">
        <v>706</v>
      </c>
      <c r="D272" s="195" t="s">
        <v>8</v>
      </c>
      <c r="E272" s="195">
        <v>0</v>
      </c>
      <c r="F272" s="195" t="s">
        <v>707</v>
      </c>
      <c r="G272" s="85"/>
      <c r="H272" s="86"/>
      <c r="I272" s="87"/>
      <c r="J272" s="88" t="s">
        <v>12</v>
      </c>
      <c r="K272" s="89"/>
      <c r="L272" s="90"/>
      <c r="M272" s="165"/>
      <c r="N272" s="134"/>
      <c r="O272" s="45"/>
      <c r="P272" s="130"/>
      <c r="Q272" s="45"/>
      <c r="R272" s="136"/>
      <c r="S272" s="139"/>
      <c r="T272" s="136" t="s">
        <v>12</v>
      </c>
      <c r="U272" s="139"/>
      <c r="V272" s="45"/>
      <c r="W272" s="136"/>
      <c r="X272" s="134"/>
      <c r="Y272" s="166"/>
      <c r="Z272" s="126"/>
      <c r="AA272" s="130"/>
      <c r="AB272" s="126"/>
      <c r="AC272" s="130"/>
      <c r="AD272" s="126"/>
      <c r="AE272" s="130"/>
      <c r="AF272" s="126"/>
      <c r="AG272" s="43"/>
      <c r="AH272" s="44"/>
      <c r="AI272" s="45">
        <v>1</v>
      </c>
      <c r="AJ272" s="46"/>
      <c r="AK272" s="41"/>
      <c r="AL272" s="47"/>
      <c r="AM272" s="48"/>
      <c r="AN272" s="111"/>
      <c r="AO272" s="42"/>
      <c r="AP272" s="42"/>
      <c r="AQ272" s="115"/>
      <c r="AR272" s="75"/>
      <c r="AS272" s="40">
        <f t="shared" si="29"/>
        <v>1</v>
      </c>
      <c r="AT272" s="31" t="s">
        <v>1753</v>
      </c>
      <c r="AW272" s="49">
        <f>SUM(E272-(AX272*100))</f>
        <v>-100</v>
      </c>
      <c r="AX272" s="49">
        <f>SUM(AY272:BE272)</f>
        <v>1</v>
      </c>
      <c r="AY272" s="49">
        <f>SUM(G272:I272)</f>
        <v>0</v>
      </c>
      <c r="AZ272" s="49">
        <f>SUM(0-COUNTA(J272:L272))</f>
        <v>-1</v>
      </c>
      <c r="BA272" s="49">
        <f>COUNTA(#REF!)</f>
        <v>1</v>
      </c>
      <c r="BB272" s="49">
        <f>COUNTA(Z272:AF272)</f>
        <v>0</v>
      </c>
      <c r="BC272" s="49"/>
      <c r="BD272" s="49"/>
      <c r="BE272" s="49">
        <v>1</v>
      </c>
    </row>
    <row r="273" spans="1:57" ht="39" hidden="1" x14ac:dyDescent="0.35">
      <c r="A273" s="194" t="s">
        <v>2642</v>
      </c>
      <c r="B273" s="194" t="s">
        <v>2362</v>
      </c>
      <c r="C273" s="195" t="s">
        <v>2363</v>
      </c>
      <c r="D273" s="195" t="s">
        <v>736</v>
      </c>
      <c r="E273" s="195"/>
      <c r="F273" s="195" t="s">
        <v>89</v>
      </c>
      <c r="G273" s="85"/>
      <c r="H273" s="86"/>
      <c r="I273" s="87"/>
      <c r="J273" s="88"/>
      <c r="K273" s="89"/>
      <c r="L273" s="90"/>
      <c r="M273" s="165"/>
      <c r="N273" s="134"/>
      <c r="O273" s="45"/>
      <c r="P273" s="130"/>
      <c r="Q273" s="45"/>
      <c r="R273" s="136"/>
      <c r="S273" s="139"/>
      <c r="T273" s="136"/>
      <c r="U273" s="139"/>
      <c r="V273" s="45"/>
      <c r="W273" s="136"/>
      <c r="X273" s="134"/>
      <c r="Y273" s="166"/>
      <c r="Z273" s="126"/>
      <c r="AA273" s="130"/>
      <c r="AB273" s="126"/>
      <c r="AC273" s="130"/>
      <c r="AD273" s="126"/>
      <c r="AE273" s="130"/>
      <c r="AF273" s="126"/>
      <c r="AG273" s="43"/>
      <c r="AH273" s="44"/>
      <c r="AI273" s="45"/>
      <c r="AJ273" s="46"/>
      <c r="AK273" s="41"/>
      <c r="AL273" s="47"/>
      <c r="AM273" s="48"/>
      <c r="AN273" s="111"/>
      <c r="AO273" s="42"/>
      <c r="AP273" s="42"/>
      <c r="AQ273" s="115"/>
      <c r="AR273" s="75">
        <v>1</v>
      </c>
      <c r="AS273" s="40">
        <f t="shared" si="29"/>
        <v>1</v>
      </c>
      <c r="AW273" s="49"/>
      <c r="AX273" s="49"/>
      <c r="AY273" s="49"/>
      <c r="AZ273" s="49"/>
      <c r="BA273" s="49"/>
      <c r="BB273" s="49"/>
      <c r="BC273" s="49"/>
      <c r="BD273" s="49"/>
      <c r="BE273" s="49"/>
    </row>
    <row r="274" spans="1:57" ht="26" hidden="1" x14ac:dyDescent="0.35">
      <c r="A274" s="194" t="s">
        <v>2642</v>
      </c>
      <c r="B274" s="194" t="s">
        <v>2362</v>
      </c>
      <c r="C274" s="195" t="s">
        <v>2380</v>
      </c>
      <c r="D274" s="195" t="s">
        <v>736</v>
      </c>
      <c r="E274" s="195"/>
      <c r="F274" s="195" t="s">
        <v>2624</v>
      </c>
      <c r="G274" s="85"/>
      <c r="H274" s="86"/>
      <c r="I274" s="87"/>
      <c r="J274" s="88"/>
      <c r="K274" s="89"/>
      <c r="L274" s="90"/>
      <c r="M274" s="165"/>
      <c r="N274" s="134"/>
      <c r="O274" s="45"/>
      <c r="P274" s="130"/>
      <c r="Q274" s="45"/>
      <c r="R274" s="136"/>
      <c r="S274" s="139"/>
      <c r="T274" s="136"/>
      <c r="U274" s="139"/>
      <c r="V274" s="45"/>
      <c r="W274" s="136"/>
      <c r="X274" s="134"/>
      <c r="Y274" s="166"/>
      <c r="Z274" s="126"/>
      <c r="AA274" s="130"/>
      <c r="AB274" s="126"/>
      <c r="AC274" s="130"/>
      <c r="AD274" s="126"/>
      <c r="AE274" s="130"/>
      <c r="AF274" s="126"/>
      <c r="AG274" s="43"/>
      <c r="AH274" s="44"/>
      <c r="AI274" s="45"/>
      <c r="AJ274" s="46"/>
      <c r="AK274" s="41"/>
      <c r="AL274" s="47"/>
      <c r="AM274" s="48"/>
      <c r="AN274" s="111"/>
      <c r="AO274" s="42"/>
      <c r="AP274" s="42"/>
      <c r="AQ274" s="115"/>
      <c r="AR274" s="75">
        <v>1</v>
      </c>
      <c r="AS274" s="40">
        <f t="shared" si="29"/>
        <v>1</v>
      </c>
      <c r="AW274" s="49"/>
      <c r="AX274" s="49"/>
      <c r="AY274" s="49"/>
      <c r="AZ274" s="49"/>
      <c r="BA274" s="49"/>
      <c r="BB274" s="49"/>
      <c r="BC274" s="49"/>
      <c r="BD274" s="49"/>
      <c r="BE274" s="49"/>
    </row>
    <row r="275" spans="1:57" ht="26" hidden="1" x14ac:dyDescent="0.35">
      <c r="A275" s="194" t="s">
        <v>2642</v>
      </c>
      <c r="B275" s="194" t="s">
        <v>2362</v>
      </c>
      <c r="C275" s="195" t="s">
        <v>2382</v>
      </c>
      <c r="D275" s="195" t="s">
        <v>736</v>
      </c>
      <c r="E275" s="195"/>
      <c r="F275" s="195" t="s">
        <v>2624</v>
      </c>
      <c r="G275" s="85"/>
      <c r="H275" s="86"/>
      <c r="I275" s="87"/>
      <c r="J275" s="88"/>
      <c r="K275" s="89"/>
      <c r="L275" s="90"/>
      <c r="M275" s="165"/>
      <c r="N275" s="134"/>
      <c r="O275" s="45"/>
      <c r="P275" s="130"/>
      <c r="Q275" s="45"/>
      <c r="R275" s="136"/>
      <c r="S275" s="139"/>
      <c r="T275" s="136"/>
      <c r="U275" s="139"/>
      <c r="V275" s="45"/>
      <c r="W275" s="136"/>
      <c r="X275" s="134"/>
      <c r="Y275" s="166"/>
      <c r="Z275" s="126"/>
      <c r="AA275" s="130"/>
      <c r="AB275" s="126"/>
      <c r="AC275" s="130"/>
      <c r="AD275" s="126"/>
      <c r="AE275" s="130"/>
      <c r="AF275" s="126"/>
      <c r="AG275" s="43"/>
      <c r="AH275" s="44"/>
      <c r="AI275" s="45"/>
      <c r="AJ275" s="46"/>
      <c r="AK275" s="41"/>
      <c r="AL275" s="47"/>
      <c r="AM275" s="48"/>
      <c r="AN275" s="111"/>
      <c r="AO275" s="42"/>
      <c r="AP275" s="42"/>
      <c r="AQ275" s="115"/>
      <c r="AR275" s="75">
        <v>1</v>
      </c>
      <c r="AS275" s="40">
        <f t="shared" si="29"/>
        <v>1</v>
      </c>
      <c r="AT275" s="40"/>
      <c r="AW275" s="42"/>
      <c r="AX275" s="42"/>
      <c r="AY275" s="42"/>
      <c r="AZ275" s="42"/>
      <c r="BA275" s="42"/>
      <c r="BB275" s="42"/>
      <c r="BC275" s="49"/>
      <c r="BD275" s="49"/>
      <c r="BE275" s="49"/>
    </row>
    <row r="276" spans="1:57" ht="26" hidden="1" x14ac:dyDescent="0.35">
      <c r="A276" s="194" t="s">
        <v>2642</v>
      </c>
      <c r="B276" s="194" t="s">
        <v>2362</v>
      </c>
      <c r="C276" s="195" t="s">
        <v>2379</v>
      </c>
      <c r="D276" s="195" t="s">
        <v>736</v>
      </c>
      <c r="E276" s="195"/>
      <c r="F276" s="195" t="s">
        <v>2624</v>
      </c>
      <c r="G276" s="85"/>
      <c r="H276" s="86"/>
      <c r="I276" s="87"/>
      <c r="J276" s="88"/>
      <c r="K276" s="89"/>
      <c r="L276" s="90"/>
      <c r="M276" s="165"/>
      <c r="N276" s="134"/>
      <c r="O276" s="45"/>
      <c r="P276" s="130"/>
      <c r="Q276" s="45"/>
      <c r="R276" s="136"/>
      <c r="S276" s="139"/>
      <c r="T276" s="136"/>
      <c r="U276" s="139"/>
      <c r="V276" s="45"/>
      <c r="W276" s="136"/>
      <c r="X276" s="134"/>
      <c r="Y276" s="166"/>
      <c r="Z276" s="126"/>
      <c r="AA276" s="130"/>
      <c r="AB276" s="126"/>
      <c r="AC276" s="130"/>
      <c r="AD276" s="126"/>
      <c r="AE276" s="130"/>
      <c r="AF276" s="126"/>
      <c r="AG276" s="43"/>
      <c r="AH276" s="44"/>
      <c r="AI276" s="45"/>
      <c r="AJ276" s="46"/>
      <c r="AK276" s="41"/>
      <c r="AL276" s="47"/>
      <c r="AM276" s="48"/>
      <c r="AN276" s="111"/>
      <c r="AO276" s="42"/>
      <c r="AP276" s="42"/>
      <c r="AQ276" s="115"/>
      <c r="AR276" s="75">
        <v>1</v>
      </c>
      <c r="AS276" s="40">
        <f t="shared" si="29"/>
        <v>1</v>
      </c>
      <c r="AW276" s="49"/>
      <c r="AX276" s="49"/>
      <c r="AY276" s="49"/>
      <c r="AZ276" s="49"/>
      <c r="BA276" s="49"/>
      <c r="BB276" s="49"/>
      <c r="BC276" s="49"/>
      <c r="BD276" s="49"/>
      <c r="BE276" s="49"/>
    </row>
    <row r="277" spans="1:57" ht="26" hidden="1" x14ac:dyDescent="0.35">
      <c r="A277" s="194" t="s">
        <v>2642</v>
      </c>
      <c r="B277" s="194" t="s">
        <v>2362</v>
      </c>
      <c r="C277" s="195" t="s">
        <v>2381</v>
      </c>
      <c r="D277" s="195" t="s">
        <v>736</v>
      </c>
      <c r="E277" s="195"/>
      <c r="F277" s="195" t="s">
        <v>2624</v>
      </c>
      <c r="G277" s="85"/>
      <c r="H277" s="86"/>
      <c r="I277" s="87"/>
      <c r="J277" s="88"/>
      <c r="K277" s="89"/>
      <c r="L277" s="90"/>
      <c r="M277" s="165"/>
      <c r="N277" s="134"/>
      <c r="O277" s="45"/>
      <c r="P277" s="130"/>
      <c r="Q277" s="45"/>
      <c r="R277" s="136"/>
      <c r="S277" s="139"/>
      <c r="T277" s="136"/>
      <c r="U277" s="139"/>
      <c r="V277" s="45"/>
      <c r="W277" s="136"/>
      <c r="X277" s="134"/>
      <c r="Y277" s="166"/>
      <c r="Z277" s="126"/>
      <c r="AA277" s="130"/>
      <c r="AB277" s="126"/>
      <c r="AC277" s="130"/>
      <c r="AD277" s="126"/>
      <c r="AE277" s="130"/>
      <c r="AF277" s="126"/>
      <c r="AG277" s="43"/>
      <c r="AH277" s="44"/>
      <c r="AI277" s="45"/>
      <c r="AJ277" s="46"/>
      <c r="AK277" s="41"/>
      <c r="AL277" s="47"/>
      <c r="AM277" s="48"/>
      <c r="AN277" s="111"/>
      <c r="AO277" s="42"/>
      <c r="AP277" s="42"/>
      <c r="AQ277" s="115"/>
      <c r="AR277" s="75">
        <v>1</v>
      </c>
      <c r="AS277" s="40">
        <f t="shared" si="29"/>
        <v>1</v>
      </c>
      <c r="AW277" s="49"/>
      <c r="AX277" s="49"/>
      <c r="AY277" s="49"/>
      <c r="AZ277" s="49"/>
      <c r="BA277" s="49"/>
      <c r="BB277" s="49"/>
      <c r="BC277" s="49"/>
      <c r="BD277" s="49"/>
      <c r="BE277" s="49"/>
    </row>
    <row r="278" spans="1:57" ht="39" hidden="1" x14ac:dyDescent="0.35">
      <c r="A278" s="194" t="s">
        <v>2642</v>
      </c>
      <c r="B278" s="194" t="s">
        <v>2362</v>
      </c>
      <c r="C278" s="195" t="s">
        <v>2370</v>
      </c>
      <c r="D278" s="195" t="s">
        <v>736</v>
      </c>
      <c r="E278" s="195"/>
      <c r="F278" s="195" t="s">
        <v>2625</v>
      </c>
      <c r="G278" s="85"/>
      <c r="H278" s="86"/>
      <c r="I278" s="87"/>
      <c r="J278" s="88"/>
      <c r="K278" s="89"/>
      <c r="L278" s="90"/>
      <c r="M278" s="165"/>
      <c r="N278" s="134"/>
      <c r="O278" s="45"/>
      <c r="P278" s="130"/>
      <c r="Q278" s="45"/>
      <c r="R278" s="136"/>
      <c r="S278" s="139"/>
      <c r="T278" s="136"/>
      <c r="U278" s="139"/>
      <c r="V278" s="45"/>
      <c r="W278" s="136"/>
      <c r="X278" s="134"/>
      <c r="Y278" s="166"/>
      <c r="Z278" s="126"/>
      <c r="AA278" s="130"/>
      <c r="AB278" s="126"/>
      <c r="AC278" s="130"/>
      <c r="AD278" s="126"/>
      <c r="AE278" s="130"/>
      <c r="AF278" s="126"/>
      <c r="AG278" s="43"/>
      <c r="AH278" s="44"/>
      <c r="AI278" s="45"/>
      <c r="AJ278" s="46"/>
      <c r="AK278" s="41"/>
      <c r="AL278" s="47"/>
      <c r="AM278" s="48"/>
      <c r="AN278" s="111"/>
      <c r="AO278" s="42"/>
      <c r="AP278" s="42"/>
      <c r="AQ278" s="115"/>
      <c r="AR278" s="75">
        <v>1</v>
      </c>
      <c r="AS278" s="40">
        <f t="shared" si="29"/>
        <v>1</v>
      </c>
      <c r="AW278" s="49"/>
      <c r="AX278" s="49"/>
      <c r="AY278" s="49"/>
      <c r="AZ278" s="49"/>
      <c r="BA278" s="49"/>
      <c r="BB278" s="49"/>
      <c r="BC278" s="49"/>
      <c r="BD278" s="49"/>
      <c r="BE278" s="49"/>
    </row>
    <row r="279" spans="1:57" ht="26" hidden="1" x14ac:dyDescent="0.35">
      <c r="A279" s="123" t="s">
        <v>2142</v>
      </c>
      <c r="B279" s="123" t="s">
        <v>2143</v>
      </c>
      <c r="C279" s="124" t="s">
        <v>2400</v>
      </c>
      <c r="D279" s="124" t="s">
        <v>8</v>
      </c>
      <c r="E279" s="124">
        <v>300</v>
      </c>
      <c r="F279" s="124" t="s">
        <v>2401</v>
      </c>
      <c r="G279" s="85">
        <v>1</v>
      </c>
      <c r="H279" s="86">
        <v>1</v>
      </c>
      <c r="I279" s="87"/>
      <c r="J279" s="88"/>
      <c r="K279" s="89"/>
      <c r="L279" s="90" t="s">
        <v>12</v>
      </c>
      <c r="M279" s="165"/>
      <c r="N279" s="134"/>
      <c r="O279" s="45"/>
      <c r="P279" s="130"/>
      <c r="Q279" s="45"/>
      <c r="R279" s="136"/>
      <c r="S279" s="139" t="s">
        <v>12</v>
      </c>
      <c r="T279" s="136"/>
      <c r="U279" s="139"/>
      <c r="V279" s="45"/>
      <c r="W279" s="136"/>
      <c r="X279" s="134"/>
      <c r="Y279" s="166" t="s">
        <v>12</v>
      </c>
      <c r="Z279" s="126"/>
      <c r="AA279" s="130"/>
      <c r="AB279" s="126"/>
      <c r="AC279" s="130"/>
      <c r="AD279" s="126"/>
      <c r="AE279" s="130"/>
      <c r="AF279" s="126"/>
      <c r="AG279" s="43"/>
      <c r="AH279" s="44"/>
      <c r="AI279" s="45"/>
      <c r="AJ279" s="46"/>
      <c r="AK279" s="41"/>
      <c r="AL279" s="47"/>
      <c r="AM279" s="48"/>
      <c r="AN279" s="111">
        <v>1</v>
      </c>
      <c r="AO279" s="42"/>
      <c r="AP279" s="42"/>
      <c r="AQ279" s="115"/>
      <c r="AR279" s="75"/>
      <c r="AS279" s="40">
        <f t="shared" si="29"/>
        <v>1</v>
      </c>
      <c r="AW279" s="49">
        <f t="shared" ref="AW279:AW311" si="30">SUM(E279-(AX279*100))</f>
        <v>200</v>
      </c>
      <c r="AX279" s="49">
        <f t="shared" ref="AX279:AX311" si="31">SUM(AY279:BE279)</f>
        <v>1</v>
      </c>
      <c r="AY279" s="49">
        <f t="shared" ref="AY279:AY311" si="32">SUM(G279:I279)</f>
        <v>2</v>
      </c>
      <c r="AZ279" s="49">
        <f t="shared" ref="AZ279:AZ311" si="33">SUM(0-COUNTA(J279:L279))</f>
        <v>-1</v>
      </c>
      <c r="BA279" s="49">
        <f>COUNTA(#REF!)</f>
        <v>1</v>
      </c>
      <c r="BB279" s="49">
        <f t="shared" ref="BB279:BB311" si="34">COUNTA(Z279:AF279)</f>
        <v>0</v>
      </c>
      <c r="BC279" s="49"/>
      <c r="BD279" s="49"/>
      <c r="BE279" s="49">
        <v>-1</v>
      </c>
    </row>
    <row r="280" spans="1:57" ht="26" hidden="1" x14ac:dyDescent="0.35">
      <c r="A280" s="123" t="s">
        <v>2142</v>
      </c>
      <c r="B280" s="123" t="s">
        <v>2143</v>
      </c>
      <c r="C280" s="124" t="s">
        <v>2144</v>
      </c>
      <c r="D280" s="124" t="s">
        <v>8</v>
      </c>
      <c r="E280" s="124">
        <v>200</v>
      </c>
      <c r="F280" s="124" t="s">
        <v>2156</v>
      </c>
      <c r="G280" s="85">
        <v>1</v>
      </c>
      <c r="H280" s="86">
        <v>1</v>
      </c>
      <c r="I280" s="87"/>
      <c r="J280" s="88"/>
      <c r="K280" s="89" t="s">
        <v>12</v>
      </c>
      <c r="L280" s="90" t="s">
        <v>12</v>
      </c>
      <c r="M280" s="165"/>
      <c r="N280" s="134"/>
      <c r="O280" s="45"/>
      <c r="P280" s="130"/>
      <c r="Q280" s="45"/>
      <c r="R280" s="136"/>
      <c r="S280" s="139"/>
      <c r="T280" s="136"/>
      <c r="U280" s="139" t="s">
        <v>12</v>
      </c>
      <c r="V280" s="45"/>
      <c r="W280" s="136"/>
      <c r="X280" s="134"/>
      <c r="Y280" s="166" t="s">
        <v>12</v>
      </c>
      <c r="Z280" s="126"/>
      <c r="AA280" s="130"/>
      <c r="AB280" s="126"/>
      <c r="AC280" s="130"/>
      <c r="AD280" s="126"/>
      <c r="AE280" s="130"/>
      <c r="AF280" s="126"/>
      <c r="AG280" s="43"/>
      <c r="AH280" s="44"/>
      <c r="AI280" s="45"/>
      <c r="AJ280" s="46"/>
      <c r="AK280" s="41"/>
      <c r="AL280" s="47"/>
      <c r="AM280" s="48"/>
      <c r="AN280" s="111">
        <v>1</v>
      </c>
      <c r="AO280" s="42"/>
      <c r="AP280" s="42"/>
      <c r="AQ280" s="115"/>
      <c r="AR280" s="75"/>
      <c r="AS280" s="40">
        <f t="shared" si="29"/>
        <v>1</v>
      </c>
      <c r="AW280" s="49">
        <f t="shared" si="30"/>
        <v>100</v>
      </c>
      <c r="AX280" s="49">
        <f t="shared" si="31"/>
        <v>1</v>
      </c>
      <c r="AY280" s="49">
        <f t="shared" si="32"/>
        <v>2</v>
      </c>
      <c r="AZ280" s="49">
        <f t="shared" si="33"/>
        <v>-2</v>
      </c>
      <c r="BA280" s="49">
        <f>COUNTA(#REF!)</f>
        <v>1</v>
      </c>
      <c r="BB280" s="49">
        <f t="shared" si="34"/>
        <v>0</v>
      </c>
      <c r="BC280" s="49"/>
      <c r="BD280" s="49"/>
      <c r="BE280" s="49">
        <v>0</v>
      </c>
    </row>
    <row r="281" spans="1:57" ht="26" hidden="1" x14ac:dyDescent="0.35">
      <c r="A281" s="123" t="s">
        <v>2142</v>
      </c>
      <c r="B281" s="123" t="s">
        <v>2143</v>
      </c>
      <c r="C281" s="124" t="s">
        <v>2145</v>
      </c>
      <c r="D281" s="124" t="s">
        <v>8</v>
      </c>
      <c r="E281" s="124">
        <v>200</v>
      </c>
      <c r="F281" s="124" t="s">
        <v>2157</v>
      </c>
      <c r="G281" s="85">
        <v>1</v>
      </c>
      <c r="H281" s="86">
        <v>1</v>
      </c>
      <c r="I281" s="87"/>
      <c r="J281" s="88"/>
      <c r="K281" s="89" t="s">
        <v>12</v>
      </c>
      <c r="L281" s="90" t="s">
        <v>12</v>
      </c>
      <c r="M281" s="165"/>
      <c r="N281" s="134"/>
      <c r="O281" s="45"/>
      <c r="P281" s="130"/>
      <c r="Q281" s="45"/>
      <c r="R281" s="136" t="s">
        <v>12</v>
      </c>
      <c r="S281" s="139"/>
      <c r="T281" s="136"/>
      <c r="U281" s="139"/>
      <c r="V281" s="45"/>
      <c r="W281" s="136"/>
      <c r="X281" s="134"/>
      <c r="Y281" s="166" t="s">
        <v>12</v>
      </c>
      <c r="Z281" s="126"/>
      <c r="AA281" s="130"/>
      <c r="AB281" s="126"/>
      <c r="AC281" s="130"/>
      <c r="AD281" s="126"/>
      <c r="AE281" s="130"/>
      <c r="AF281" s="126"/>
      <c r="AG281" s="43"/>
      <c r="AH281" s="44"/>
      <c r="AI281" s="45"/>
      <c r="AJ281" s="46"/>
      <c r="AK281" s="41"/>
      <c r="AL281" s="47"/>
      <c r="AM281" s="48"/>
      <c r="AN281" s="111">
        <v>1</v>
      </c>
      <c r="AO281" s="42"/>
      <c r="AP281" s="42"/>
      <c r="AQ281" s="115"/>
      <c r="AR281" s="75"/>
      <c r="AS281" s="40">
        <f t="shared" si="29"/>
        <v>1</v>
      </c>
      <c r="AW281" s="49">
        <f t="shared" si="30"/>
        <v>100</v>
      </c>
      <c r="AX281" s="49">
        <f t="shared" si="31"/>
        <v>1</v>
      </c>
      <c r="AY281" s="49">
        <f t="shared" si="32"/>
        <v>2</v>
      </c>
      <c r="AZ281" s="49">
        <f t="shared" si="33"/>
        <v>-2</v>
      </c>
      <c r="BA281" s="49">
        <f>COUNTA(#REF!)</f>
        <v>1</v>
      </c>
      <c r="BB281" s="49">
        <f t="shared" si="34"/>
        <v>0</v>
      </c>
      <c r="BC281" s="49"/>
      <c r="BD281" s="49"/>
      <c r="BE281" s="49">
        <v>0</v>
      </c>
    </row>
    <row r="282" spans="1:57" x14ac:dyDescent="0.35">
      <c r="A282" s="123" t="s">
        <v>2142</v>
      </c>
      <c r="B282" s="123" t="s">
        <v>2143</v>
      </c>
      <c r="C282" s="124" t="s">
        <v>2202</v>
      </c>
      <c r="D282" s="124" t="s">
        <v>8</v>
      </c>
      <c r="E282" s="124">
        <v>300</v>
      </c>
      <c r="F282" s="124" t="s">
        <v>2242</v>
      </c>
      <c r="G282" s="85">
        <v>2</v>
      </c>
      <c r="H282" s="86"/>
      <c r="I282" s="87"/>
      <c r="J282" s="88"/>
      <c r="K282" s="89"/>
      <c r="L282" s="90" t="s">
        <v>12</v>
      </c>
      <c r="M282" s="165"/>
      <c r="N282" s="134"/>
      <c r="O282" s="45" t="s">
        <v>12</v>
      </c>
      <c r="P282" s="130"/>
      <c r="Q282" s="45"/>
      <c r="R282" s="136"/>
      <c r="S282" s="139"/>
      <c r="T282" s="136"/>
      <c r="U282" s="139"/>
      <c r="V282" s="45" t="s">
        <v>12</v>
      </c>
      <c r="W282" s="136"/>
      <c r="X282" s="134"/>
      <c r="Y282" s="166"/>
      <c r="Z282" s="126"/>
      <c r="AA282" s="130"/>
      <c r="AB282" s="126"/>
      <c r="AC282" s="130"/>
      <c r="AD282" s="126"/>
      <c r="AE282" s="130"/>
      <c r="AF282" s="126"/>
      <c r="AG282" s="43"/>
      <c r="AH282" s="44"/>
      <c r="AI282" s="45"/>
      <c r="AJ282" s="46">
        <v>1</v>
      </c>
      <c r="AK282" s="41"/>
      <c r="AL282" s="47"/>
      <c r="AM282" s="48"/>
      <c r="AN282" s="111"/>
      <c r="AO282" s="42"/>
      <c r="AP282" s="42"/>
      <c r="AQ282" s="115"/>
      <c r="AR282" s="75"/>
      <c r="AS282" s="40">
        <f t="shared" si="29"/>
        <v>1</v>
      </c>
      <c r="AW282" s="49">
        <f t="shared" si="30"/>
        <v>0</v>
      </c>
      <c r="AX282" s="49">
        <f t="shared" si="31"/>
        <v>3</v>
      </c>
      <c r="AY282" s="49">
        <f t="shared" si="32"/>
        <v>2</v>
      </c>
      <c r="AZ282" s="49">
        <f t="shared" si="33"/>
        <v>-1</v>
      </c>
      <c r="BA282" s="49">
        <f>COUNTA(#REF!)</f>
        <v>1</v>
      </c>
      <c r="BB282" s="49">
        <f t="shared" si="34"/>
        <v>0</v>
      </c>
      <c r="BC282" s="49">
        <v>1</v>
      </c>
      <c r="BD282" s="49"/>
      <c r="BE282" s="49">
        <v>0</v>
      </c>
    </row>
    <row r="283" spans="1:57" ht="26" x14ac:dyDescent="0.35">
      <c r="A283" s="123" t="s">
        <v>2142</v>
      </c>
      <c r="B283" s="123" t="s">
        <v>2143</v>
      </c>
      <c r="C283" s="124" t="s">
        <v>95</v>
      </c>
      <c r="D283" s="124" t="s">
        <v>8</v>
      </c>
      <c r="E283" s="124">
        <v>200</v>
      </c>
      <c r="F283" s="124" t="s">
        <v>2221</v>
      </c>
      <c r="G283" s="85">
        <v>2</v>
      </c>
      <c r="H283" s="86"/>
      <c r="I283" s="87"/>
      <c r="J283" s="88"/>
      <c r="K283" s="89" t="s">
        <v>12</v>
      </c>
      <c r="L283" s="90" t="s">
        <v>12</v>
      </c>
      <c r="M283" s="165"/>
      <c r="N283" s="134"/>
      <c r="O283" s="45" t="s">
        <v>12</v>
      </c>
      <c r="P283" s="130"/>
      <c r="Q283" s="45"/>
      <c r="R283" s="136"/>
      <c r="S283" s="139"/>
      <c r="T283" s="136"/>
      <c r="U283" s="139"/>
      <c r="V283" s="45"/>
      <c r="W283" s="136"/>
      <c r="X283" s="134"/>
      <c r="Y283" s="166"/>
      <c r="Z283" s="126"/>
      <c r="AA283" s="130"/>
      <c r="AB283" s="126"/>
      <c r="AC283" s="130"/>
      <c r="AD283" s="126"/>
      <c r="AE283" s="130"/>
      <c r="AF283" s="126"/>
      <c r="AG283" s="43"/>
      <c r="AH283" s="44"/>
      <c r="AI283" s="45"/>
      <c r="AJ283" s="46">
        <v>1</v>
      </c>
      <c r="AK283" s="41"/>
      <c r="AL283" s="47"/>
      <c r="AM283" s="48"/>
      <c r="AN283" s="111"/>
      <c r="AO283" s="42"/>
      <c r="AP283" s="42"/>
      <c r="AQ283" s="115"/>
      <c r="AR283" s="75"/>
      <c r="AS283" s="40">
        <f t="shared" si="29"/>
        <v>1</v>
      </c>
      <c r="AW283" s="49">
        <f t="shared" si="30"/>
        <v>-100</v>
      </c>
      <c r="AX283" s="49">
        <f t="shared" si="31"/>
        <v>3</v>
      </c>
      <c r="AY283" s="49">
        <f t="shared" si="32"/>
        <v>2</v>
      </c>
      <c r="AZ283" s="49">
        <f t="shared" si="33"/>
        <v>-2</v>
      </c>
      <c r="BA283" s="49">
        <f>COUNTA(#REF!)</f>
        <v>1</v>
      </c>
      <c r="BB283" s="49">
        <f t="shared" si="34"/>
        <v>0</v>
      </c>
      <c r="BC283" s="49">
        <v>1</v>
      </c>
      <c r="BD283" s="49"/>
      <c r="BE283" s="49">
        <v>1</v>
      </c>
    </row>
    <row r="284" spans="1:57" ht="26" hidden="1" x14ac:dyDescent="0.35">
      <c r="A284" s="123" t="s">
        <v>2142</v>
      </c>
      <c r="B284" s="123" t="s">
        <v>2143</v>
      </c>
      <c r="C284" s="124" t="s">
        <v>2184</v>
      </c>
      <c r="D284" s="124" t="s">
        <v>8</v>
      </c>
      <c r="E284" s="124">
        <v>300</v>
      </c>
      <c r="F284" s="124" t="s">
        <v>2185</v>
      </c>
      <c r="G284" s="85">
        <v>2</v>
      </c>
      <c r="H284" s="86"/>
      <c r="I284" s="87"/>
      <c r="J284" s="88"/>
      <c r="K284" s="89"/>
      <c r="L284" s="90"/>
      <c r="M284" s="165"/>
      <c r="N284" s="134"/>
      <c r="O284" s="45"/>
      <c r="P284" s="130"/>
      <c r="Q284" s="45"/>
      <c r="R284" s="136"/>
      <c r="S284" s="139"/>
      <c r="T284" s="136"/>
      <c r="U284" s="139"/>
      <c r="V284" s="45" t="s">
        <v>12</v>
      </c>
      <c r="W284" s="136"/>
      <c r="X284" s="134"/>
      <c r="Y284" s="166"/>
      <c r="Z284" s="126"/>
      <c r="AA284" s="130"/>
      <c r="AB284" s="126"/>
      <c r="AC284" s="130"/>
      <c r="AD284" s="126"/>
      <c r="AE284" s="130"/>
      <c r="AF284" s="126"/>
      <c r="AG284" s="43"/>
      <c r="AH284" s="44"/>
      <c r="AI284" s="45"/>
      <c r="AJ284" s="46">
        <v>1</v>
      </c>
      <c r="AK284" s="41"/>
      <c r="AL284" s="47"/>
      <c r="AM284" s="48"/>
      <c r="AN284" s="111"/>
      <c r="AO284" s="42"/>
      <c r="AP284" s="42"/>
      <c r="AQ284" s="115"/>
      <c r="AR284" s="75"/>
      <c r="AS284" s="40">
        <f t="shared" si="29"/>
        <v>1</v>
      </c>
      <c r="AW284" s="49">
        <f t="shared" si="30"/>
        <v>0</v>
      </c>
      <c r="AX284" s="49">
        <f t="shared" si="31"/>
        <v>3</v>
      </c>
      <c r="AY284" s="49">
        <f t="shared" si="32"/>
        <v>2</v>
      </c>
      <c r="AZ284" s="49">
        <f t="shared" si="33"/>
        <v>0</v>
      </c>
      <c r="BA284" s="49">
        <f>COUNTA(#REF!)</f>
        <v>1</v>
      </c>
      <c r="BB284" s="49">
        <f t="shared" si="34"/>
        <v>0</v>
      </c>
      <c r="BC284" s="49">
        <v>1</v>
      </c>
      <c r="BD284" s="49">
        <v>-1</v>
      </c>
      <c r="BE284" s="49"/>
    </row>
    <row r="285" spans="1:57" hidden="1" x14ac:dyDescent="0.35">
      <c r="A285" s="123" t="s">
        <v>2142</v>
      </c>
      <c r="B285" s="123" t="s">
        <v>2143</v>
      </c>
      <c r="C285" s="124" t="s">
        <v>2203</v>
      </c>
      <c r="D285" s="124" t="s">
        <v>8</v>
      </c>
      <c r="E285" s="124">
        <v>300</v>
      </c>
      <c r="F285" s="124" t="s">
        <v>2402</v>
      </c>
      <c r="G285" s="85">
        <v>2</v>
      </c>
      <c r="H285" s="86"/>
      <c r="I285" s="87"/>
      <c r="J285" s="88"/>
      <c r="K285" s="89" t="s">
        <v>12</v>
      </c>
      <c r="L285" s="90"/>
      <c r="M285" s="165"/>
      <c r="N285" s="134"/>
      <c r="O285" s="45" t="s">
        <v>12</v>
      </c>
      <c r="P285" s="130"/>
      <c r="Q285" s="45"/>
      <c r="R285" s="136"/>
      <c r="S285" s="139"/>
      <c r="T285" s="136"/>
      <c r="U285" s="139"/>
      <c r="V285" s="45"/>
      <c r="W285" s="136"/>
      <c r="X285" s="134"/>
      <c r="Y285" s="166"/>
      <c r="Z285" s="126"/>
      <c r="AA285" s="130"/>
      <c r="AB285" s="126"/>
      <c r="AC285" s="130"/>
      <c r="AD285" s="126"/>
      <c r="AE285" s="130"/>
      <c r="AF285" s="126"/>
      <c r="AG285" s="43"/>
      <c r="AH285" s="44"/>
      <c r="AI285" s="45"/>
      <c r="AJ285" s="46"/>
      <c r="AK285" s="41"/>
      <c r="AL285" s="47"/>
      <c r="AM285" s="48"/>
      <c r="AN285" s="111">
        <v>1</v>
      </c>
      <c r="AO285" s="42"/>
      <c r="AP285" s="42"/>
      <c r="AQ285" s="115"/>
      <c r="AR285" s="75"/>
      <c r="AS285" s="40">
        <f t="shared" si="29"/>
        <v>1</v>
      </c>
      <c r="AW285" s="49">
        <f t="shared" si="30"/>
        <v>-100</v>
      </c>
      <c r="AX285" s="49">
        <f t="shared" si="31"/>
        <v>4</v>
      </c>
      <c r="AY285" s="49">
        <f t="shared" si="32"/>
        <v>2</v>
      </c>
      <c r="AZ285" s="49">
        <f t="shared" si="33"/>
        <v>-1</v>
      </c>
      <c r="BA285" s="49">
        <f>COUNTA(#REF!)</f>
        <v>1</v>
      </c>
      <c r="BB285" s="49">
        <f t="shared" si="34"/>
        <v>0</v>
      </c>
      <c r="BC285" s="49">
        <v>1</v>
      </c>
      <c r="BD285" s="49"/>
      <c r="BE285" s="49">
        <v>1</v>
      </c>
    </row>
    <row r="286" spans="1:57" hidden="1" x14ac:dyDescent="0.35">
      <c r="A286" s="123" t="s">
        <v>2142</v>
      </c>
      <c r="B286" s="123" t="s">
        <v>2143</v>
      </c>
      <c r="C286" s="124" t="s">
        <v>2199</v>
      </c>
      <c r="D286" s="124" t="s">
        <v>8</v>
      </c>
      <c r="E286" s="124">
        <v>200</v>
      </c>
      <c r="F286" s="124" t="s">
        <v>567</v>
      </c>
      <c r="G286" s="85">
        <v>1</v>
      </c>
      <c r="H286" s="86"/>
      <c r="I286" s="87"/>
      <c r="J286" s="88" t="s">
        <v>12</v>
      </c>
      <c r="K286" s="89"/>
      <c r="L286" s="90"/>
      <c r="M286" s="165"/>
      <c r="N286" s="134"/>
      <c r="O286" s="45"/>
      <c r="P286" s="130"/>
      <c r="Q286" s="45"/>
      <c r="R286" s="136"/>
      <c r="S286" s="139"/>
      <c r="T286" s="136"/>
      <c r="U286" s="139"/>
      <c r="V286" s="45" t="s">
        <v>12</v>
      </c>
      <c r="W286" s="136"/>
      <c r="X286" s="134"/>
      <c r="Y286" s="166"/>
      <c r="Z286" s="126"/>
      <c r="AA286" s="130"/>
      <c r="AB286" s="126"/>
      <c r="AC286" s="130"/>
      <c r="AD286" s="126"/>
      <c r="AE286" s="130"/>
      <c r="AF286" s="126"/>
      <c r="AG286" s="43"/>
      <c r="AH286" s="44"/>
      <c r="AI286" s="45"/>
      <c r="AJ286" s="46"/>
      <c r="AK286" s="41">
        <v>1</v>
      </c>
      <c r="AL286" s="47"/>
      <c r="AM286" s="48"/>
      <c r="AN286" s="111"/>
      <c r="AO286" s="42"/>
      <c r="AP286" s="42"/>
      <c r="AQ286" s="115"/>
      <c r="AR286" s="75"/>
      <c r="AS286" s="40">
        <f t="shared" si="29"/>
        <v>1</v>
      </c>
      <c r="AW286" s="49">
        <f t="shared" si="30"/>
        <v>0</v>
      </c>
      <c r="AX286" s="49">
        <f t="shared" si="31"/>
        <v>2</v>
      </c>
      <c r="AY286" s="49">
        <f t="shared" si="32"/>
        <v>1</v>
      </c>
      <c r="AZ286" s="49">
        <f t="shared" si="33"/>
        <v>-1</v>
      </c>
      <c r="BA286" s="49">
        <f>COUNTA(#REF!)</f>
        <v>1</v>
      </c>
      <c r="BB286" s="49">
        <f t="shared" si="34"/>
        <v>0</v>
      </c>
      <c r="BC286" s="49"/>
      <c r="BD286" s="49"/>
      <c r="BE286" s="49">
        <v>1</v>
      </c>
    </row>
    <row r="287" spans="1:57" ht="39" hidden="1" x14ac:dyDescent="0.35">
      <c r="A287" s="123" t="s">
        <v>2142</v>
      </c>
      <c r="B287" s="123" t="s">
        <v>2143</v>
      </c>
      <c r="C287" s="124" t="s">
        <v>2222</v>
      </c>
      <c r="D287" s="124" t="s">
        <v>8</v>
      </c>
      <c r="E287" s="124">
        <v>0</v>
      </c>
      <c r="F287" s="124" t="s">
        <v>699</v>
      </c>
      <c r="G287" s="85">
        <v>1</v>
      </c>
      <c r="H287" s="86">
        <v>1</v>
      </c>
      <c r="I287" s="87"/>
      <c r="J287" s="88"/>
      <c r="K287" s="89" t="s">
        <v>12</v>
      </c>
      <c r="L287" s="90"/>
      <c r="M287" s="165"/>
      <c r="N287" s="134" t="s">
        <v>12</v>
      </c>
      <c r="O287" s="45"/>
      <c r="P287" s="130"/>
      <c r="Q287" s="45"/>
      <c r="R287" s="136"/>
      <c r="S287" s="139"/>
      <c r="T287" s="136"/>
      <c r="U287" s="139"/>
      <c r="V287" s="45"/>
      <c r="W287" s="136"/>
      <c r="X287" s="134"/>
      <c r="Y287" s="166"/>
      <c r="Z287" s="126"/>
      <c r="AA287" s="130"/>
      <c r="AB287" s="126"/>
      <c r="AC287" s="130"/>
      <c r="AD287" s="126"/>
      <c r="AE287" s="130"/>
      <c r="AF287" s="126"/>
      <c r="AG287" s="43"/>
      <c r="AH287" s="44">
        <v>1</v>
      </c>
      <c r="AI287" s="45"/>
      <c r="AJ287" s="46"/>
      <c r="AK287" s="41"/>
      <c r="AL287" s="47"/>
      <c r="AM287" s="48"/>
      <c r="AN287" s="111"/>
      <c r="AO287" s="42"/>
      <c r="AP287" s="42"/>
      <c r="AQ287" s="115"/>
      <c r="AR287" s="75"/>
      <c r="AS287" s="40">
        <f t="shared" si="29"/>
        <v>1</v>
      </c>
      <c r="AW287" s="49">
        <f t="shared" si="30"/>
        <v>-200</v>
      </c>
      <c r="AX287" s="49">
        <f t="shared" si="31"/>
        <v>2</v>
      </c>
      <c r="AY287" s="49">
        <f t="shared" si="32"/>
        <v>2</v>
      </c>
      <c r="AZ287" s="49">
        <f t="shared" si="33"/>
        <v>-1</v>
      </c>
      <c r="BA287" s="49">
        <f>COUNTA(#REF!)</f>
        <v>1</v>
      </c>
      <c r="BB287" s="49">
        <f t="shared" si="34"/>
        <v>0</v>
      </c>
      <c r="BC287" s="49"/>
      <c r="BD287" s="49"/>
      <c r="BE287" s="49"/>
    </row>
    <row r="288" spans="1:57" hidden="1" x14ac:dyDescent="0.35">
      <c r="A288" s="123" t="s">
        <v>2142</v>
      </c>
      <c r="B288" s="123" t="s">
        <v>2143</v>
      </c>
      <c r="C288" s="124" t="s">
        <v>2146</v>
      </c>
      <c r="D288" s="124" t="s">
        <v>8</v>
      </c>
      <c r="E288" s="124">
        <v>200</v>
      </c>
      <c r="F288" s="124" t="s">
        <v>2158</v>
      </c>
      <c r="G288" s="85">
        <v>1</v>
      </c>
      <c r="H288" s="86"/>
      <c r="I288" s="87"/>
      <c r="J288" s="88"/>
      <c r="K288" s="89"/>
      <c r="L288" s="90"/>
      <c r="M288" s="165"/>
      <c r="N288" s="134"/>
      <c r="O288" s="45" t="s">
        <v>12</v>
      </c>
      <c r="P288" s="130"/>
      <c r="Q288" s="45"/>
      <c r="R288" s="136"/>
      <c r="S288" s="139"/>
      <c r="T288" s="136"/>
      <c r="U288" s="139"/>
      <c r="V288" s="45"/>
      <c r="W288" s="136"/>
      <c r="X288" s="134"/>
      <c r="Y288" s="166"/>
      <c r="Z288" s="126"/>
      <c r="AA288" s="130"/>
      <c r="AB288" s="126"/>
      <c r="AC288" s="130"/>
      <c r="AD288" s="126"/>
      <c r="AE288" s="130"/>
      <c r="AF288" s="126"/>
      <c r="AG288" s="43"/>
      <c r="AH288" s="44"/>
      <c r="AI288" s="45"/>
      <c r="AJ288" s="46"/>
      <c r="AK288" s="41"/>
      <c r="AL288" s="47"/>
      <c r="AM288" s="48"/>
      <c r="AN288" s="111">
        <v>2</v>
      </c>
      <c r="AO288" s="42"/>
      <c r="AP288" s="42"/>
      <c r="AQ288" s="115"/>
      <c r="AR288" s="75"/>
      <c r="AS288" s="40">
        <f t="shared" si="29"/>
        <v>2</v>
      </c>
      <c r="AW288" s="49">
        <f t="shared" si="30"/>
        <v>0</v>
      </c>
      <c r="AX288" s="49">
        <f t="shared" si="31"/>
        <v>2</v>
      </c>
      <c r="AY288" s="49">
        <f t="shared" si="32"/>
        <v>1</v>
      </c>
      <c r="AZ288" s="49">
        <f t="shared" si="33"/>
        <v>0</v>
      </c>
      <c r="BA288" s="49">
        <f>COUNTA(#REF!)</f>
        <v>1</v>
      </c>
      <c r="BB288" s="49">
        <f t="shared" si="34"/>
        <v>0</v>
      </c>
      <c r="BC288" s="49"/>
      <c r="BD288" s="49"/>
      <c r="BE288" s="49">
        <v>0</v>
      </c>
    </row>
    <row r="289" spans="1:57" ht="26" x14ac:dyDescent="0.35">
      <c r="A289" s="123" t="s">
        <v>2142</v>
      </c>
      <c r="B289" s="123" t="s">
        <v>2143</v>
      </c>
      <c r="C289" s="124" t="s">
        <v>2204</v>
      </c>
      <c r="D289" s="124" t="s">
        <v>8</v>
      </c>
      <c r="E289" s="124">
        <v>200</v>
      </c>
      <c r="F289" s="124" t="s">
        <v>2243</v>
      </c>
      <c r="G289" s="85">
        <v>1</v>
      </c>
      <c r="H289" s="86">
        <v>1</v>
      </c>
      <c r="I289" s="87"/>
      <c r="J289" s="88"/>
      <c r="K289" s="89" t="s">
        <v>12</v>
      </c>
      <c r="L289" s="90"/>
      <c r="M289" s="165"/>
      <c r="N289" s="134"/>
      <c r="O289" s="45" t="s">
        <v>12</v>
      </c>
      <c r="P289" s="130"/>
      <c r="Q289" s="45"/>
      <c r="R289" s="136"/>
      <c r="S289" s="139"/>
      <c r="T289" s="136"/>
      <c r="U289" s="139"/>
      <c r="V289" s="45"/>
      <c r="W289" s="136"/>
      <c r="X289" s="134"/>
      <c r="Y289" s="166"/>
      <c r="Z289" s="126"/>
      <c r="AA289" s="130"/>
      <c r="AB289" s="126"/>
      <c r="AC289" s="130"/>
      <c r="AD289" s="126"/>
      <c r="AE289" s="130"/>
      <c r="AF289" s="126"/>
      <c r="AG289" s="43"/>
      <c r="AH289" s="44"/>
      <c r="AI289" s="45">
        <v>1</v>
      </c>
      <c r="AJ289" s="46"/>
      <c r="AK289" s="41"/>
      <c r="AL289" s="47"/>
      <c r="AM289" s="48"/>
      <c r="AN289" s="111"/>
      <c r="AO289" s="42"/>
      <c r="AP289" s="42"/>
      <c r="AQ289" s="115"/>
      <c r="AR289" s="75"/>
      <c r="AS289" s="40">
        <f t="shared" si="29"/>
        <v>1</v>
      </c>
      <c r="AW289" s="49">
        <f t="shared" si="30"/>
        <v>0</v>
      </c>
      <c r="AX289" s="49">
        <f t="shared" si="31"/>
        <v>2</v>
      </c>
      <c r="AY289" s="49">
        <f t="shared" si="32"/>
        <v>2</v>
      </c>
      <c r="AZ289" s="49">
        <f t="shared" si="33"/>
        <v>-1</v>
      </c>
      <c r="BA289" s="49">
        <f>COUNTA(#REF!)</f>
        <v>1</v>
      </c>
      <c r="BB289" s="49">
        <f t="shared" si="34"/>
        <v>0</v>
      </c>
      <c r="BC289" s="49"/>
      <c r="BD289" s="49"/>
      <c r="BE289" s="49"/>
    </row>
    <row r="290" spans="1:57" ht="26" hidden="1" x14ac:dyDescent="0.35">
      <c r="A290" s="123" t="s">
        <v>2142</v>
      </c>
      <c r="B290" s="123" t="s">
        <v>2143</v>
      </c>
      <c r="C290" s="124" t="s">
        <v>2206</v>
      </c>
      <c r="D290" s="124" t="s">
        <v>8</v>
      </c>
      <c r="E290" s="124">
        <v>200</v>
      </c>
      <c r="F290" s="124" t="s">
        <v>2408</v>
      </c>
      <c r="G290" s="85">
        <v>1</v>
      </c>
      <c r="H290" s="86">
        <v>1</v>
      </c>
      <c r="I290" s="87"/>
      <c r="J290" s="88"/>
      <c r="K290" s="89"/>
      <c r="L290" s="90"/>
      <c r="M290" s="165"/>
      <c r="N290" s="134"/>
      <c r="O290" s="45"/>
      <c r="P290" s="130"/>
      <c r="Q290" s="45"/>
      <c r="R290" s="136"/>
      <c r="S290" s="139"/>
      <c r="T290" s="136"/>
      <c r="U290" s="139" t="s">
        <v>12</v>
      </c>
      <c r="V290" s="45"/>
      <c r="W290" s="136"/>
      <c r="X290" s="134"/>
      <c r="Y290" s="166"/>
      <c r="Z290" s="126"/>
      <c r="AA290" s="130"/>
      <c r="AB290" s="126"/>
      <c r="AC290" s="130"/>
      <c r="AD290" s="126"/>
      <c r="AE290" s="130"/>
      <c r="AF290" s="126"/>
      <c r="AG290" s="43">
        <v>1</v>
      </c>
      <c r="AH290" s="44"/>
      <c r="AI290" s="45"/>
      <c r="AJ290" s="46"/>
      <c r="AK290" s="41"/>
      <c r="AL290" s="47"/>
      <c r="AM290" s="48"/>
      <c r="AN290" s="111"/>
      <c r="AO290" s="42"/>
      <c r="AP290" s="42"/>
      <c r="AQ290" s="115"/>
      <c r="AR290" s="75"/>
      <c r="AS290" s="40">
        <f t="shared" si="29"/>
        <v>1</v>
      </c>
      <c r="AW290" s="49">
        <f t="shared" si="30"/>
        <v>0</v>
      </c>
      <c r="AX290" s="49">
        <f t="shared" si="31"/>
        <v>2</v>
      </c>
      <c r="AY290" s="49">
        <f t="shared" si="32"/>
        <v>2</v>
      </c>
      <c r="AZ290" s="49">
        <f t="shared" si="33"/>
        <v>0</v>
      </c>
      <c r="BA290" s="49">
        <f>COUNTA(#REF!)</f>
        <v>1</v>
      </c>
      <c r="BB290" s="49">
        <f t="shared" si="34"/>
        <v>0</v>
      </c>
      <c r="BC290" s="49"/>
      <c r="BD290" s="49"/>
      <c r="BE290" s="49">
        <v>-1</v>
      </c>
    </row>
    <row r="291" spans="1:57" hidden="1" x14ac:dyDescent="0.35">
      <c r="A291" s="123" t="s">
        <v>2142</v>
      </c>
      <c r="B291" s="123" t="s">
        <v>2143</v>
      </c>
      <c r="C291" s="124" t="s">
        <v>7</v>
      </c>
      <c r="D291" s="124" t="s">
        <v>8</v>
      </c>
      <c r="E291" s="124">
        <v>100</v>
      </c>
      <c r="F291" s="124" t="s">
        <v>9</v>
      </c>
      <c r="G291" s="85">
        <v>1</v>
      </c>
      <c r="H291" s="86"/>
      <c r="I291" s="87"/>
      <c r="J291" s="88"/>
      <c r="K291" s="89"/>
      <c r="L291" s="90"/>
      <c r="M291" s="165"/>
      <c r="N291" s="134"/>
      <c r="O291" s="45" t="s">
        <v>12</v>
      </c>
      <c r="P291" s="130"/>
      <c r="Q291" s="45"/>
      <c r="R291" s="136"/>
      <c r="S291" s="139"/>
      <c r="T291" s="136"/>
      <c r="U291" s="139"/>
      <c r="V291" s="45"/>
      <c r="W291" s="136"/>
      <c r="X291" s="134"/>
      <c r="Y291" s="166"/>
      <c r="Z291" s="126"/>
      <c r="AA291" s="130"/>
      <c r="AB291" s="126"/>
      <c r="AC291" s="130"/>
      <c r="AD291" s="126"/>
      <c r="AE291" s="130"/>
      <c r="AF291" s="126"/>
      <c r="AG291" s="43"/>
      <c r="AH291" s="44"/>
      <c r="AI291" s="45"/>
      <c r="AJ291" s="46"/>
      <c r="AK291" s="41"/>
      <c r="AL291" s="47"/>
      <c r="AM291" s="48"/>
      <c r="AN291" s="111">
        <v>2</v>
      </c>
      <c r="AO291" s="42"/>
      <c r="AP291" s="42"/>
      <c r="AQ291" s="115"/>
      <c r="AR291" s="75"/>
      <c r="AS291" s="40">
        <f t="shared" si="29"/>
        <v>2</v>
      </c>
      <c r="AW291" s="49">
        <f t="shared" si="30"/>
        <v>-100</v>
      </c>
      <c r="AX291" s="49">
        <f t="shared" si="31"/>
        <v>2</v>
      </c>
      <c r="AY291" s="49">
        <f t="shared" si="32"/>
        <v>1</v>
      </c>
      <c r="AZ291" s="49">
        <f t="shared" si="33"/>
        <v>0</v>
      </c>
      <c r="BA291" s="49">
        <f>COUNTA(#REF!)</f>
        <v>1</v>
      </c>
      <c r="BB291" s="49">
        <f t="shared" si="34"/>
        <v>0</v>
      </c>
      <c r="BC291" s="49"/>
      <c r="BD291" s="49"/>
      <c r="BE291" s="49">
        <v>0</v>
      </c>
    </row>
    <row r="292" spans="1:57" ht="26" hidden="1" x14ac:dyDescent="0.35">
      <c r="A292" s="123" t="s">
        <v>2142</v>
      </c>
      <c r="B292" s="123" t="s">
        <v>2143</v>
      </c>
      <c r="C292" s="124" t="s">
        <v>2207</v>
      </c>
      <c r="D292" s="124" t="s">
        <v>8</v>
      </c>
      <c r="E292" s="124">
        <v>200</v>
      </c>
      <c r="F292" s="124" t="s">
        <v>2409</v>
      </c>
      <c r="G292" s="85">
        <v>1</v>
      </c>
      <c r="H292" s="86">
        <v>1</v>
      </c>
      <c r="I292" s="87"/>
      <c r="J292" s="88"/>
      <c r="K292" s="89"/>
      <c r="L292" s="90" t="s">
        <v>12</v>
      </c>
      <c r="M292" s="165"/>
      <c r="N292" s="134"/>
      <c r="O292" s="45" t="s">
        <v>12</v>
      </c>
      <c r="P292" s="130"/>
      <c r="Q292" s="45"/>
      <c r="R292" s="136"/>
      <c r="S292" s="139"/>
      <c r="T292" s="136"/>
      <c r="U292" s="139" t="s">
        <v>12</v>
      </c>
      <c r="V292" s="45"/>
      <c r="W292" s="136"/>
      <c r="X292" s="134"/>
      <c r="Y292" s="166"/>
      <c r="Z292" s="126"/>
      <c r="AA292" s="130"/>
      <c r="AB292" s="126"/>
      <c r="AC292" s="130"/>
      <c r="AD292" s="126"/>
      <c r="AE292" s="130"/>
      <c r="AF292" s="126"/>
      <c r="AG292" s="43">
        <v>1</v>
      </c>
      <c r="AH292" s="44"/>
      <c r="AI292" s="45"/>
      <c r="AJ292" s="46"/>
      <c r="AK292" s="41"/>
      <c r="AL292" s="47"/>
      <c r="AM292" s="48"/>
      <c r="AN292" s="111"/>
      <c r="AO292" s="42"/>
      <c r="AP292" s="42"/>
      <c r="AQ292" s="115"/>
      <c r="AR292" s="75"/>
      <c r="AS292" s="40">
        <f t="shared" si="29"/>
        <v>1</v>
      </c>
      <c r="AW292" s="49">
        <f t="shared" si="30"/>
        <v>100</v>
      </c>
      <c r="AX292" s="49">
        <f t="shared" si="31"/>
        <v>1</v>
      </c>
      <c r="AY292" s="49">
        <f t="shared" si="32"/>
        <v>2</v>
      </c>
      <c r="AZ292" s="49">
        <f t="shared" si="33"/>
        <v>-1</v>
      </c>
      <c r="BA292" s="49">
        <f>COUNTA(#REF!)</f>
        <v>1</v>
      </c>
      <c r="BB292" s="49">
        <f t="shared" si="34"/>
        <v>0</v>
      </c>
      <c r="BC292" s="49"/>
      <c r="BD292" s="49"/>
      <c r="BE292" s="49">
        <v>-1</v>
      </c>
    </row>
    <row r="293" spans="1:57" ht="26" hidden="1" x14ac:dyDescent="0.35">
      <c r="A293" s="123" t="s">
        <v>2142</v>
      </c>
      <c r="B293" s="123" t="s">
        <v>2143</v>
      </c>
      <c r="C293" s="124" t="s">
        <v>2147</v>
      </c>
      <c r="D293" s="124" t="s">
        <v>8</v>
      </c>
      <c r="E293" s="124">
        <v>200</v>
      </c>
      <c r="F293" s="124" t="s">
        <v>2159</v>
      </c>
      <c r="G293" s="85">
        <v>1</v>
      </c>
      <c r="H293" s="86"/>
      <c r="I293" s="87"/>
      <c r="J293" s="88"/>
      <c r="K293" s="89" t="s">
        <v>12</v>
      </c>
      <c r="L293" s="90"/>
      <c r="M293" s="165"/>
      <c r="N293" s="134"/>
      <c r="O293" s="45" t="s">
        <v>12</v>
      </c>
      <c r="P293" s="130"/>
      <c r="Q293" s="45"/>
      <c r="R293" s="136"/>
      <c r="S293" s="139"/>
      <c r="T293" s="136"/>
      <c r="U293" s="139"/>
      <c r="V293" s="45"/>
      <c r="W293" s="136"/>
      <c r="X293" s="134"/>
      <c r="Y293" s="166"/>
      <c r="Z293" s="126"/>
      <c r="AA293" s="130"/>
      <c r="AB293" s="126"/>
      <c r="AC293" s="130"/>
      <c r="AD293" s="126"/>
      <c r="AE293" s="130"/>
      <c r="AF293" s="126"/>
      <c r="AG293" s="43"/>
      <c r="AH293" s="44"/>
      <c r="AI293" s="45"/>
      <c r="AJ293" s="46"/>
      <c r="AK293" s="41"/>
      <c r="AL293" s="47"/>
      <c r="AM293" s="48"/>
      <c r="AN293" s="111">
        <v>2</v>
      </c>
      <c r="AO293" s="42"/>
      <c r="AP293" s="42"/>
      <c r="AQ293" s="115"/>
      <c r="AR293" s="75"/>
      <c r="AS293" s="40">
        <f t="shared" si="29"/>
        <v>2</v>
      </c>
      <c r="AW293" s="42">
        <f t="shared" si="30"/>
        <v>100</v>
      </c>
      <c r="AX293" s="42">
        <f t="shared" si="31"/>
        <v>1</v>
      </c>
      <c r="AY293" s="42">
        <f t="shared" si="32"/>
        <v>1</v>
      </c>
      <c r="AZ293" s="49">
        <f t="shared" si="33"/>
        <v>-1</v>
      </c>
      <c r="BA293" s="49">
        <f>COUNTA(#REF!)</f>
        <v>1</v>
      </c>
      <c r="BB293" s="49">
        <f t="shared" si="34"/>
        <v>0</v>
      </c>
      <c r="BC293" s="49"/>
      <c r="BD293" s="49"/>
      <c r="BE293" s="49">
        <v>0</v>
      </c>
    </row>
    <row r="294" spans="1:57" ht="39" hidden="1" x14ac:dyDescent="0.35">
      <c r="A294" s="123" t="s">
        <v>2142</v>
      </c>
      <c r="B294" s="123" t="s">
        <v>2143</v>
      </c>
      <c r="C294" s="124" t="s">
        <v>2200</v>
      </c>
      <c r="D294" s="124" t="s">
        <v>8</v>
      </c>
      <c r="E294" s="124">
        <v>0</v>
      </c>
      <c r="F294" s="124" t="s">
        <v>2244</v>
      </c>
      <c r="G294" s="85"/>
      <c r="H294" s="86"/>
      <c r="I294" s="87">
        <v>2</v>
      </c>
      <c r="J294" s="88" t="s">
        <v>12</v>
      </c>
      <c r="K294" s="89"/>
      <c r="L294" s="90"/>
      <c r="M294" s="165"/>
      <c r="N294" s="134"/>
      <c r="O294" s="45"/>
      <c r="P294" s="130"/>
      <c r="Q294" s="45"/>
      <c r="R294" s="136"/>
      <c r="S294" s="139"/>
      <c r="T294" s="136"/>
      <c r="U294" s="139"/>
      <c r="V294" s="45"/>
      <c r="W294" s="136"/>
      <c r="X294" s="134"/>
      <c r="Y294" s="166"/>
      <c r="Z294" s="126"/>
      <c r="AA294" s="130"/>
      <c r="AB294" s="126"/>
      <c r="AC294" s="130"/>
      <c r="AD294" s="126"/>
      <c r="AE294" s="130"/>
      <c r="AF294" s="126"/>
      <c r="AG294" s="43"/>
      <c r="AH294" s="44"/>
      <c r="AI294" s="45"/>
      <c r="AJ294" s="46"/>
      <c r="AK294" s="41">
        <v>1</v>
      </c>
      <c r="AL294" s="47"/>
      <c r="AM294" s="48"/>
      <c r="AN294" s="111"/>
      <c r="AO294" s="42"/>
      <c r="AP294" s="42"/>
      <c r="AQ294" s="115"/>
      <c r="AR294" s="75"/>
      <c r="AS294" s="40">
        <f t="shared" si="29"/>
        <v>1</v>
      </c>
      <c r="AW294" s="49">
        <f t="shared" si="30"/>
        <v>-100</v>
      </c>
      <c r="AX294" s="49">
        <f t="shared" si="31"/>
        <v>1</v>
      </c>
      <c r="AY294" s="49">
        <f t="shared" si="32"/>
        <v>2</v>
      </c>
      <c r="AZ294" s="49">
        <f t="shared" si="33"/>
        <v>-1</v>
      </c>
      <c r="BA294" s="49">
        <f>COUNTA(#REF!)</f>
        <v>1</v>
      </c>
      <c r="BB294" s="49">
        <f t="shared" si="34"/>
        <v>0</v>
      </c>
      <c r="BC294" s="49"/>
      <c r="BD294" s="49"/>
      <c r="BE294" s="49">
        <v>-1</v>
      </c>
    </row>
    <row r="295" spans="1:57" ht="26" x14ac:dyDescent="0.35">
      <c r="A295" s="123" t="s">
        <v>2142</v>
      </c>
      <c r="B295" s="123" t="s">
        <v>2143</v>
      </c>
      <c r="C295" s="124" t="s">
        <v>71</v>
      </c>
      <c r="D295" s="124" t="s">
        <v>8</v>
      </c>
      <c r="E295" s="124">
        <v>100</v>
      </c>
      <c r="F295" s="124" t="s">
        <v>2223</v>
      </c>
      <c r="G295" s="85"/>
      <c r="H295" s="86"/>
      <c r="I295" s="87">
        <v>1</v>
      </c>
      <c r="J295" s="88"/>
      <c r="K295" s="89" t="s">
        <v>12</v>
      </c>
      <c r="L295" s="90" t="s">
        <v>12</v>
      </c>
      <c r="M295" s="165"/>
      <c r="N295" s="134"/>
      <c r="O295" s="45"/>
      <c r="P295" s="130"/>
      <c r="Q295" s="45"/>
      <c r="R295" s="136"/>
      <c r="S295" s="139" t="s">
        <v>12</v>
      </c>
      <c r="T295" s="136"/>
      <c r="U295" s="139"/>
      <c r="V295" s="45"/>
      <c r="W295" s="136"/>
      <c r="X295" s="134"/>
      <c r="Y295" s="166"/>
      <c r="Z295" s="126"/>
      <c r="AA295" s="130"/>
      <c r="AB295" s="126"/>
      <c r="AC295" s="130"/>
      <c r="AD295" s="126"/>
      <c r="AE295" s="130"/>
      <c r="AF295" s="126"/>
      <c r="AG295" s="43"/>
      <c r="AH295" s="44"/>
      <c r="AI295" s="45"/>
      <c r="AJ295" s="46"/>
      <c r="AK295" s="41">
        <v>1</v>
      </c>
      <c r="AL295" s="47"/>
      <c r="AM295" s="48"/>
      <c r="AN295" s="111"/>
      <c r="AO295" s="42"/>
      <c r="AP295" s="42"/>
      <c r="AQ295" s="115"/>
      <c r="AR295" s="75"/>
      <c r="AS295" s="40">
        <f t="shared" si="29"/>
        <v>1</v>
      </c>
      <c r="AW295" s="49">
        <f t="shared" si="30"/>
        <v>100</v>
      </c>
      <c r="AX295" s="49">
        <f t="shared" si="31"/>
        <v>0</v>
      </c>
      <c r="AY295" s="49">
        <f t="shared" si="32"/>
        <v>1</v>
      </c>
      <c r="AZ295" s="49">
        <f t="shared" si="33"/>
        <v>-2</v>
      </c>
      <c r="BA295" s="49">
        <f>COUNTA(#REF!)</f>
        <v>1</v>
      </c>
      <c r="BB295" s="49">
        <f t="shared" si="34"/>
        <v>0</v>
      </c>
      <c r="BC295" s="49"/>
      <c r="BD295" s="49"/>
      <c r="BE295" s="49">
        <v>0</v>
      </c>
    </row>
    <row r="296" spans="1:57" hidden="1" x14ac:dyDescent="0.35">
      <c r="A296" s="123" t="s">
        <v>2142</v>
      </c>
      <c r="B296" s="123" t="s">
        <v>2143</v>
      </c>
      <c r="C296" s="124" t="s">
        <v>2205</v>
      </c>
      <c r="D296" s="124" t="s">
        <v>8</v>
      </c>
      <c r="E296" s="124">
        <v>200</v>
      </c>
      <c r="F296" s="124" t="s">
        <v>2407</v>
      </c>
      <c r="G296" s="85">
        <v>2</v>
      </c>
      <c r="H296" s="86"/>
      <c r="I296" s="87"/>
      <c r="J296" s="88"/>
      <c r="K296" s="89" t="s">
        <v>12</v>
      </c>
      <c r="L296" s="90" t="s">
        <v>12</v>
      </c>
      <c r="M296" s="165"/>
      <c r="N296" s="134"/>
      <c r="O296" s="45" t="s">
        <v>12</v>
      </c>
      <c r="P296" s="130"/>
      <c r="Q296" s="45"/>
      <c r="R296" s="136"/>
      <c r="S296" s="139"/>
      <c r="T296" s="136"/>
      <c r="U296" s="139"/>
      <c r="V296" s="45"/>
      <c r="W296" s="136"/>
      <c r="X296" s="134"/>
      <c r="Y296" s="166"/>
      <c r="Z296" s="126"/>
      <c r="AA296" s="130"/>
      <c r="AB296" s="126"/>
      <c r="AC296" s="130"/>
      <c r="AD296" s="126"/>
      <c r="AE296" s="130"/>
      <c r="AF296" s="126"/>
      <c r="AG296" s="43"/>
      <c r="AH296" s="44"/>
      <c r="AI296" s="45">
        <v>1</v>
      </c>
      <c r="AJ296" s="46"/>
      <c r="AK296" s="41"/>
      <c r="AL296" s="47"/>
      <c r="AM296" s="48"/>
      <c r="AN296" s="111"/>
      <c r="AO296" s="42"/>
      <c r="AP296" s="42"/>
      <c r="AQ296" s="115"/>
      <c r="AR296" s="75"/>
      <c r="AS296" s="40">
        <f t="shared" si="29"/>
        <v>1</v>
      </c>
      <c r="AW296" s="49">
        <f t="shared" si="30"/>
        <v>-100</v>
      </c>
      <c r="AX296" s="49">
        <f t="shared" si="31"/>
        <v>3</v>
      </c>
      <c r="AY296" s="49">
        <f t="shared" si="32"/>
        <v>2</v>
      </c>
      <c r="AZ296" s="49">
        <f t="shared" si="33"/>
        <v>-2</v>
      </c>
      <c r="BA296" s="49">
        <f>COUNTA(#REF!)</f>
        <v>1</v>
      </c>
      <c r="BB296" s="49">
        <f t="shared" si="34"/>
        <v>0</v>
      </c>
      <c r="BC296" s="49">
        <v>1</v>
      </c>
      <c r="BD296" s="49"/>
      <c r="BE296" s="49">
        <v>1</v>
      </c>
    </row>
    <row r="297" spans="1:57" ht="26" hidden="1" x14ac:dyDescent="0.35">
      <c r="A297" s="123" t="s">
        <v>2142</v>
      </c>
      <c r="B297" s="123" t="s">
        <v>2143</v>
      </c>
      <c r="C297" s="124" t="s">
        <v>2193</v>
      </c>
      <c r="D297" s="124" t="s">
        <v>8</v>
      </c>
      <c r="E297" s="124">
        <v>0</v>
      </c>
      <c r="F297" s="124" t="s">
        <v>2194</v>
      </c>
      <c r="G297" s="85">
        <v>1</v>
      </c>
      <c r="H297" s="86"/>
      <c r="I297" s="87">
        <v>1</v>
      </c>
      <c r="J297" s="88"/>
      <c r="K297" s="89" t="s">
        <v>12</v>
      </c>
      <c r="L297" s="90"/>
      <c r="M297" s="165"/>
      <c r="N297" s="134"/>
      <c r="O297" s="45"/>
      <c r="P297" s="130"/>
      <c r="Q297" s="45"/>
      <c r="R297" s="136"/>
      <c r="S297" s="139"/>
      <c r="T297" s="136"/>
      <c r="U297" s="139"/>
      <c r="V297" s="45" t="s">
        <v>12</v>
      </c>
      <c r="W297" s="136"/>
      <c r="X297" s="134"/>
      <c r="Y297" s="166"/>
      <c r="Z297" s="126"/>
      <c r="AA297" s="130"/>
      <c r="AB297" s="126"/>
      <c r="AC297" s="130"/>
      <c r="AD297" s="126"/>
      <c r="AE297" s="130"/>
      <c r="AF297" s="126"/>
      <c r="AG297" s="43"/>
      <c r="AH297" s="44"/>
      <c r="AI297" s="45"/>
      <c r="AJ297" s="46"/>
      <c r="AK297" s="41">
        <v>1</v>
      </c>
      <c r="AL297" s="47"/>
      <c r="AM297" s="48"/>
      <c r="AN297" s="111"/>
      <c r="AO297" s="42"/>
      <c r="AP297" s="42"/>
      <c r="AQ297" s="115"/>
      <c r="AR297" s="75"/>
      <c r="AS297" s="40">
        <f t="shared" si="29"/>
        <v>1</v>
      </c>
      <c r="AW297" s="49">
        <f t="shared" si="30"/>
        <v>0</v>
      </c>
      <c r="AX297" s="49">
        <f t="shared" si="31"/>
        <v>0</v>
      </c>
      <c r="AY297" s="49">
        <f t="shared" si="32"/>
        <v>2</v>
      </c>
      <c r="AZ297" s="49">
        <f t="shared" si="33"/>
        <v>-1</v>
      </c>
      <c r="BA297" s="49">
        <f>COUNTA(#REF!)</f>
        <v>1</v>
      </c>
      <c r="BB297" s="49">
        <f t="shared" si="34"/>
        <v>0</v>
      </c>
      <c r="BC297" s="49"/>
      <c r="BD297" s="49"/>
      <c r="BE297" s="49">
        <v>-2</v>
      </c>
    </row>
    <row r="298" spans="1:57" ht="26" hidden="1" x14ac:dyDescent="0.35">
      <c r="A298" s="123" t="s">
        <v>2142</v>
      </c>
      <c r="B298" s="123" t="s">
        <v>2143</v>
      </c>
      <c r="C298" s="124" t="s">
        <v>2148</v>
      </c>
      <c r="D298" s="124" t="s">
        <v>8</v>
      </c>
      <c r="E298" s="124">
        <v>200</v>
      </c>
      <c r="F298" s="124" t="s">
        <v>2403</v>
      </c>
      <c r="G298" s="85">
        <v>2</v>
      </c>
      <c r="H298" s="86"/>
      <c r="I298" s="87"/>
      <c r="J298" s="88"/>
      <c r="K298" s="89" t="s">
        <v>12</v>
      </c>
      <c r="L298" s="90" t="s">
        <v>12</v>
      </c>
      <c r="M298" s="165"/>
      <c r="N298" s="134"/>
      <c r="O298" s="45" t="s">
        <v>12</v>
      </c>
      <c r="P298" s="130"/>
      <c r="Q298" s="45"/>
      <c r="R298" s="136"/>
      <c r="S298" s="139"/>
      <c r="T298" s="136"/>
      <c r="U298" s="139"/>
      <c r="V298" s="45"/>
      <c r="W298" s="136"/>
      <c r="X298" s="134"/>
      <c r="Y298" s="166"/>
      <c r="Z298" s="126"/>
      <c r="AA298" s="130"/>
      <c r="AB298" s="126"/>
      <c r="AC298" s="130"/>
      <c r="AD298" s="126"/>
      <c r="AE298" s="130"/>
      <c r="AF298" s="126"/>
      <c r="AG298" s="43"/>
      <c r="AH298" s="44"/>
      <c r="AI298" s="45"/>
      <c r="AJ298" s="46"/>
      <c r="AK298" s="41"/>
      <c r="AL298" s="47"/>
      <c r="AM298" s="48"/>
      <c r="AN298" s="111">
        <v>1</v>
      </c>
      <c r="AO298" s="42"/>
      <c r="AP298" s="42"/>
      <c r="AQ298" s="115"/>
      <c r="AR298" s="75"/>
      <c r="AS298" s="40">
        <f t="shared" si="29"/>
        <v>1</v>
      </c>
      <c r="AW298" s="49">
        <f t="shared" si="30"/>
        <v>0</v>
      </c>
      <c r="AX298" s="49">
        <f t="shared" si="31"/>
        <v>2</v>
      </c>
      <c r="AY298" s="49">
        <f t="shared" si="32"/>
        <v>2</v>
      </c>
      <c r="AZ298" s="49">
        <f t="shared" si="33"/>
        <v>-2</v>
      </c>
      <c r="BA298" s="49">
        <f>COUNTA(#REF!)</f>
        <v>1</v>
      </c>
      <c r="BB298" s="49">
        <f t="shared" si="34"/>
        <v>0</v>
      </c>
      <c r="BC298" s="49">
        <v>1</v>
      </c>
      <c r="BD298" s="49"/>
      <c r="BE298" s="49">
        <v>0</v>
      </c>
    </row>
    <row r="299" spans="1:57" ht="26" hidden="1" x14ac:dyDescent="0.35">
      <c r="A299" s="123" t="s">
        <v>2142</v>
      </c>
      <c r="B299" s="123" t="s">
        <v>2143</v>
      </c>
      <c r="C299" s="124" t="s">
        <v>2149</v>
      </c>
      <c r="D299" s="124" t="s">
        <v>8</v>
      </c>
      <c r="E299" s="124">
        <v>300</v>
      </c>
      <c r="F299" s="124" t="s">
        <v>2404</v>
      </c>
      <c r="G299" s="85">
        <v>1</v>
      </c>
      <c r="H299" s="86">
        <v>1</v>
      </c>
      <c r="I299" s="87">
        <v>1</v>
      </c>
      <c r="J299" s="88"/>
      <c r="K299" s="89" t="s">
        <v>12</v>
      </c>
      <c r="L299" s="90" t="s">
        <v>12</v>
      </c>
      <c r="M299" s="165"/>
      <c r="N299" s="134"/>
      <c r="O299" s="45"/>
      <c r="P299" s="130"/>
      <c r="Q299" s="45"/>
      <c r="R299" s="136"/>
      <c r="S299" s="139"/>
      <c r="T299" s="136"/>
      <c r="U299" s="139"/>
      <c r="V299" s="45"/>
      <c r="W299" s="136"/>
      <c r="X299" s="134"/>
      <c r="Y299" s="166"/>
      <c r="Z299" s="126"/>
      <c r="AA299" s="130"/>
      <c r="AB299" s="126"/>
      <c r="AC299" s="130"/>
      <c r="AD299" s="126"/>
      <c r="AE299" s="130"/>
      <c r="AF299" s="126" t="s">
        <v>12</v>
      </c>
      <c r="AG299" s="43"/>
      <c r="AH299" s="44"/>
      <c r="AI299" s="45"/>
      <c r="AJ299" s="46"/>
      <c r="AK299" s="41"/>
      <c r="AL299" s="47"/>
      <c r="AM299" s="48"/>
      <c r="AN299" s="111">
        <v>1</v>
      </c>
      <c r="AO299" s="42"/>
      <c r="AP299" s="42"/>
      <c r="AQ299" s="115"/>
      <c r="AR299" s="75"/>
      <c r="AS299" s="40">
        <f t="shared" si="29"/>
        <v>1</v>
      </c>
      <c r="AW299" s="49">
        <f t="shared" si="30"/>
        <v>-100</v>
      </c>
      <c r="AX299" s="49">
        <f t="shared" si="31"/>
        <v>4</v>
      </c>
      <c r="AY299" s="49">
        <f t="shared" si="32"/>
        <v>3</v>
      </c>
      <c r="AZ299" s="49">
        <f t="shared" si="33"/>
        <v>-2</v>
      </c>
      <c r="BA299" s="49">
        <f>COUNTA(#REF!)</f>
        <v>1</v>
      </c>
      <c r="BB299" s="49">
        <f t="shared" si="34"/>
        <v>1</v>
      </c>
      <c r="BC299" s="49"/>
      <c r="BD299" s="49"/>
      <c r="BE299" s="49">
        <v>1</v>
      </c>
    </row>
    <row r="300" spans="1:57" ht="26" hidden="1" x14ac:dyDescent="0.35">
      <c r="A300" s="123" t="s">
        <v>2142</v>
      </c>
      <c r="B300" s="123" t="s">
        <v>2143</v>
      </c>
      <c r="C300" s="124" t="s">
        <v>2201</v>
      </c>
      <c r="D300" s="124" t="s">
        <v>8</v>
      </c>
      <c r="E300" s="124">
        <v>0</v>
      </c>
      <c r="F300" s="124" t="s">
        <v>593</v>
      </c>
      <c r="G300" s="85">
        <v>1</v>
      </c>
      <c r="H300" s="86"/>
      <c r="I300" s="87"/>
      <c r="J300" s="88" t="s">
        <v>12</v>
      </c>
      <c r="K300" s="89"/>
      <c r="L300" s="90"/>
      <c r="M300" s="165"/>
      <c r="N300" s="134"/>
      <c r="O300" s="45" t="s">
        <v>12</v>
      </c>
      <c r="P300" s="130"/>
      <c r="Q300" s="45"/>
      <c r="R300" s="136"/>
      <c r="S300" s="139"/>
      <c r="T300" s="136"/>
      <c r="U300" s="139"/>
      <c r="V300" s="45"/>
      <c r="W300" s="136"/>
      <c r="X300" s="134"/>
      <c r="Y300" s="166"/>
      <c r="Z300" s="126"/>
      <c r="AA300" s="130"/>
      <c r="AB300" s="126"/>
      <c r="AC300" s="130"/>
      <c r="AD300" s="126"/>
      <c r="AE300" s="130"/>
      <c r="AF300" s="126"/>
      <c r="AG300" s="43"/>
      <c r="AH300" s="44"/>
      <c r="AI300" s="45"/>
      <c r="AJ300" s="46"/>
      <c r="AK300" s="41"/>
      <c r="AL300" s="47"/>
      <c r="AM300" s="48"/>
      <c r="AN300" s="111">
        <v>1</v>
      </c>
      <c r="AO300" s="42"/>
      <c r="AP300" s="42"/>
      <c r="AQ300" s="115"/>
      <c r="AR300" s="75"/>
      <c r="AS300" s="40">
        <f t="shared" si="29"/>
        <v>1</v>
      </c>
      <c r="AW300" s="49">
        <f t="shared" si="30"/>
        <v>100</v>
      </c>
      <c r="AX300" s="49">
        <f t="shared" si="31"/>
        <v>-1</v>
      </c>
      <c r="AY300" s="49">
        <f t="shared" si="32"/>
        <v>1</v>
      </c>
      <c r="AZ300" s="49">
        <f t="shared" si="33"/>
        <v>-1</v>
      </c>
      <c r="BA300" s="49">
        <f>COUNTA(#REF!)</f>
        <v>1</v>
      </c>
      <c r="BB300" s="49">
        <f t="shared" si="34"/>
        <v>0</v>
      </c>
      <c r="BC300" s="49"/>
      <c r="BD300" s="49"/>
      <c r="BE300" s="49">
        <v>-2</v>
      </c>
    </row>
    <row r="301" spans="1:57" ht="26" hidden="1" x14ac:dyDescent="0.35">
      <c r="A301" s="123" t="s">
        <v>2142</v>
      </c>
      <c r="B301" s="123" t="s">
        <v>2143</v>
      </c>
      <c r="C301" s="124" t="s">
        <v>2150</v>
      </c>
      <c r="D301" s="124" t="s">
        <v>8</v>
      </c>
      <c r="E301" s="124">
        <v>300</v>
      </c>
      <c r="F301" s="124" t="s">
        <v>2160</v>
      </c>
      <c r="G301" s="85">
        <v>3</v>
      </c>
      <c r="H301" s="86"/>
      <c r="I301" s="87"/>
      <c r="J301" s="88"/>
      <c r="K301" s="89" t="s">
        <v>12</v>
      </c>
      <c r="L301" s="90" t="s">
        <v>12</v>
      </c>
      <c r="M301" s="165"/>
      <c r="N301" s="134"/>
      <c r="O301" s="45"/>
      <c r="P301" s="130"/>
      <c r="Q301" s="45"/>
      <c r="R301" s="136"/>
      <c r="S301" s="139"/>
      <c r="T301" s="136"/>
      <c r="U301" s="139"/>
      <c r="V301" s="45" t="s">
        <v>12</v>
      </c>
      <c r="W301" s="136"/>
      <c r="X301" s="134"/>
      <c r="Y301" s="166"/>
      <c r="Z301" s="126"/>
      <c r="AA301" s="130"/>
      <c r="AB301" s="126"/>
      <c r="AC301" s="130"/>
      <c r="AD301" s="126"/>
      <c r="AE301" s="130"/>
      <c r="AF301" s="126"/>
      <c r="AG301" s="43"/>
      <c r="AH301" s="44"/>
      <c r="AI301" s="45"/>
      <c r="AJ301" s="46"/>
      <c r="AK301" s="41"/>
      <c r="AL301" s="47"/>
      <c r="AM301" s="48"/>
      <c r="AN301" s="111">
        <v>1</v>
      </c>
      <c r="AO301" s="42"/>
      <c r="AP301" s="42"/>
      <c r="AQ301" s="115"/>
      <c r="AR301" s="75"/>
      <c r="AS301" s="40">
        <f t="shared" si="29"/>
        <v>1</v>
      </c>
      <c r="AW301" s="49">
        <f t="shared" si="30"/>
        <v>0</v>
      </c>
      <c r="AX301" s="49">
        <f t="shared" si="31"/>
        <v>3</v>
      </c>
      <c r="AY301" s="49">
        <f t="shared" si="32"/>
        <v>3</v>
      </c>
      <c r="AZ301" s="49">
        <f t="shared" si="33"/>
        <v>-2</v>
      </c>
      <c r="BA301" s="49">
        <f>COUNTA(#REF!)</f>
        <v>1</v>
      </c>
      <c r="BB301" s="49">
        <f t="shared" si="34"/>
        <v>0</v>
      </c>
      <c r="BC301" s="49">
        <v>1</v>
      </c>
      <c r="BD301" s="49"/>
      <c r="BE301" s="49">
        <v>0</v>
      </c>
    </row>
    <row r="302" spans="1:57" ht="26" hidden="1" x14ac:dyDescent="0.35">
      <c r="A302" s="123" t="s">
        <v>2142</v>
      </c>
      <c r="B302" s="123" t="s">
        <v>2143</v>
      </c>
      <c r="C302" s="124" t="s">
        <v>2195</v>
      </c>
      <c r="D302" s="124" t="s">
        <v>8</v>
      </c>
      <c r="E302" s="124">
        <v>0</v>
      </c>
      <c r="F302" s="124" t="s">
        <v>2196</v>
      </c>
      <c r="G302" s="85">
        <v>2</v>
      </c>
      <c r="H302" s="86"/>
      <c r="I302" s="87"/>
      <c r="J302" s="88"/>
      <c r="K302" s="89" t="s">
        <v>12</v>
      </c>
      <c r="L302" s="90"/>
      <c r="M302" s="165"/>
      <c r="N302" s="134" t="s">
        <v>12</v>
      </c>
      <c r="O302" s="45"/>
      <c r="P302" s="130"/>
      <c r="Q302" s="45"/>
      <c r="R302" s="136"/>
      <c r="S302" s="139"/>
      <c r="T302" s="136"/>
      <c r="U302" s="139"/>
      <c r="V302" s="45"/>
      <c r="W302" s="136"/>
      <c r="X302" s="134"/>
      <c r="Y302" s="166"/>
      <c r="Z302" s="126"/>
      <c r="AA302" s="130"/>
      <c r="AB302" s="126"/>
      <c r="AC302" s="130"/>
      <c r="AD302" s="126"/>
      <c r="AE302" s="130"/>
      <c r="AF302" s="126"/>
      <c r="AG302" s="43"/>
      <c r="AH302" s="44"/>
      <c r="AI302" s="45"/>
      <c r="AJ302" s="46"/>
      <c r="AK302" s="41"/>
      <c r="AL302" s="47">
        <v>1</v>
      </c>
      <c r="AM302" s="48"/>
      <c r="AN302" s="111"/>
      <c r="AO302" s="42"/>
      <c r="AP302" s="42"/>
      <c r="AQ302" s="115"/>
      <c r="AR302" s="75"/>
      <c r="AS302" s="40">
        <f t="shared" si="29"/>
        <v>1</v>
      </c>
      <c r="AW302" s="49">
        <f t="shared" si="30"/>
        <v>-200</v>
      </c>
      <c r="AX302" s="49">
        <f t="shared" si="31"/>
        <v>2</v>
      </c>
      <c r="AY302" s="49">
        <f t="shared" si="32"/>
        <v>2</v>
      </c>
      <c r="AZ302" s="49">
        <f t="shared" si="33"/>
        <v>-1</v>
      </c>
      <c r="BA302" s="49">
        <f>COUNTA(#REF!)</f>
        <v>1</v>
      </c>
      <c r="BB302" s="49">
        <f t="shared" si="34"/>
        <v>0</v>
      </c>
      <c r="BC302" s="49"/>
      <c r="BD302" s="49"/>
      <c r="BE302" s="49"/>
    </row>
    <row r="303" spans="1:57" hidden="1" x14ac:dyDescent="0.35">
      <c r="A303" s="123" t="s">
        <v>2142</v>
      </c>
      <c r="B303" s="123" t="s">
        <v>2143</v>
      </c>
      <c r="C303" s="124" t="s">
        <v>2186</v>
      </c>
      <c r="D303" s="124" t="s">
        <v>8</v>
      </c>
      <c r="E303" s="124">
        <v>0</v>
      </c>
      <c r="F303" s="124" t="s">
        <v>2187</v>
      </c>
      <c r="G303" s="85"/>
      <c r="H303" s="86">
        <v>1</v>
      </c>
      <c r="I303" s="87"/>
      <c r="J303" s="88"/>
      <c r="K303" s="89"/>
      <c r="L303" s="90"/>
      <c r="M303" s="165"/>
      <c r="N303" s="134"/>
      <c r="O303" s="45"/>
      <c r="P303" s="130"/>
      <c r="Q303" s="45"/>
      <c r="R303" s="136"/>
      <c r="S303" s="139"/>
      <c r="T303" s="136" t="s">
        <v>12</v>
      </c>
      <c r="U303" s="139"/>
      <c r="V303" s="45"/>
      <c r="W303" s="136"/>
      <c r="X303" s="134"/>
      <c r="Y303" s="166"/>
      <c r="Z303" s="126"/>
      <c r="AA303" s="130"/>
      <c r="AB303" s="126"/>
      <c r="AC303" s="130"/>
      <c r="AD303" s="126"/>
      <c r="AE303" s="130"/>
      <c r="AF303" s="126"/>
      <c r="AG303" s="43"/>
      <c r="AH303" s="44"/>
      <c r="AI303" s="45"/>
      <c r="AJ303" s="46"/>
      <c r="AK303" s="41"/>
      <c r="AL303" s="47"/>
      <c r="AM303" s="48">
        <v>1</v>
      </c>
      <c r="AN303" s="111"/>
      <c r="AO303" s="42"/>
      <c r="AP303" s="42"/>
      <c r="AQ303" s="115"/>
      <c r="AR303" s="75"/>
      <c r="AS303" s="40">
        <f t="shared" si="29"/>
        <v>1</v>
      </c>
      <c r="AW303" s="49">
        <f t="shared" si="30"/>
        <v>-100</v>
      </c>
      <c r="AX303" s="49">
        <f t="shared" si="31"/>
        <v>1</v>
      </c>
      <c r="AY303" s="49">
        <f t="shared" si="32"/>
        <v>1</v>
      </c>
      <c r="AZ303" s="49">
        <f t="shared" si="33"/>
        <v>0</v>
      </c>
      <c r="BA303" s="49">
        <f>COUNTA(#REF!)</f>
        <v>1</v>
      </c>
      <c r="BB303" s="49">
        <f t="shared" si="34"/>
        <v>0</v>
      </c>
      <c r="BC303" s="49"/>
      <c r="BD303" s="49"/>
      <c r="BE303" s="49">
        <v>-1</v>
      </c>
    </row>
    <row r="304" spans="1:57" ht="39" hidden="1" x14ac:dyDescent="0.35">
      <c r="A304" s="123" t="s">
        <v>2142</v>
      </c>
      <c r="B304" s="123" t="s">
        <v>2143</v>
      </c>
      <c r="C304" s="124" t="s">
        <v>2151</v>
      </c>
      <c r="D304" s="124" t="s">
        <v>8</v>
      </c>
      <c r="E304" s="124">
        <v>300</v>
      </c>
      <c r="F304" s="124" t="s">
        <v>2161</v>
      </c>
      <c r="G304" s="85">
        <v>2</v>
      </c>
      <c r="H304" s="86">
        <v>1</v>
      </c>
      <c r="I304" s="87"/>
      <c r="J304" s="88"/>
      <c r="K304" s="89" t="s">
        <v>12</v>
      </c>
      <c r="L304" s="90" t="s">
        <v>12</v>
      </c>
      <c r="M304" s="165"/>
      <c r="N304" s="134"/>
      <c r="O304" s="45"/>
      <c r="P304" s="130"/>
      <c r="Q304" s="45"/>
      <c r="R304" s="136"/>
      <c r="S304" s="139"/>
      <c r="T304" s="136"/>
      <c r="U304" s="139"/>
      <c r="V304" s="45"/>
      <c r="W304" s="136"/>
      <c r="X304" s="134"/>
      <c r="Y304" s="166"/>
      <c r="Z304" s="126"/>
      <c r="AA304" s="130"/>
      <c r="AB304" s="126"/>
      <c r="AC304" s="130"/>
      <c r="AD304" s="126"/>
      <c r="AE304" s="130"/>
      <c r="AF304" s="126"/>
      <c r="AG304" s="43"/>
      <c r="AH304" s="44"/>
      <c r="AI304" s="45"/>
      <c r="AJ304" s="46"/>
      <c r="AK304" s="41"/>
      <c r="AL304" s="47"/>
      <c r="AM304" s="48"/>
      <c r="AN304" s="111">
        <v>1</v>
      </c>
      <c r="AO304" s="42"/>
      <c r="AP304" s="42"/>
      <c r="AQ304" s="115"/>
      <c r="AR304" s="75"/>
      <c r="AS304" s="40">
        <f t="shared" si="29"/>
        <v>1</v>
      </c>
      <c r="AW304" s="49">
        <f t="shared" si="30"/>
        <v>-100</v>
      </c>
      <c r="AX304" s="49">
        <f t="shared" si="31"/>
        <v>4</v>
      </c>
      <c r="AY304" s="49">
        <f t="shared" si="32"/>
        <v>3</v>
      </c>
      <c r="AZ304" s="49">
        <f t="shared" si="33"/>
        <v>-2</v>
      </c>
      <c r="BA304" s="49">
        <f>COUNTA(#REF!)</f>
        <v>1</v>
      </c>
      <c r="BB304" s="49">
        <f t="shared" si="34"/>
        <v>0</v>
      </c>
      <c r="BC304" s="49"/>
      <c r="BD304" s="49"/>
      <c r="BE304" s="49">
        <v>2</v>
      </c>
    </row>
    <row r="305" spans="1:57" x14ac:dyDescent="0.35">
      <c r="A305" s="123" t="s">
        <v>2142</v>
      </c>
      <c r="B305" s="123" t="s">
        <v>2143</v>
      </c>
      <c r="C305" s="124" t="s">
        <v>129</v>
      </c>
      <c r="D305" s="124" t="s">
        <v>8</v>
      </c>
      <c r="E305" s="124">
        <v>100</v>
      </c>
      <c r="F305" s="124" t="s">
        <v>1886</v>
      </c>
      <c r="G305" s="85">
        <v>1</v>
      </c>
      <c r="H305" s="86"/>
      <c r="I305" s="87"/>
      <c r="J305" s="88"/>
      <c r="K305" s="89" t="s">
        <v>12</v>
      </c>
      <c r="L305" s="90"/>
      <c r="M305" s="165"/>
      <c r="N305" s="134"/>
      <c r="O305" s="45"/>
      <c r="P305" s="130"/>
      <c r="Q305" s="45"/>
      <c r="R305" s="136"/>
      <c r="S305" s="139"/>
      <c r="T305" s="136"/>
      <c r="U305" s="139"/>
      <c r="V305" s="45" t="s">
        <v>12</v>
      </c>
      <c r="W305" s="136"/>
      <c r="X305" s="134"/>
      <c r="Y305" s="166"/>
      <c r="Z305" s="126"/>
      <c r="AA305" s="130"/>
      <c r="AB305" s="126"/>
      <c r="AC305" s="130"/>
      <c r="AD305" s="126"/>
      <c r="AE305" s="130"/>
      <c r="AF305" s="126"/>
      <c r="AG305" s="43"/>
      <c r="AH305" s="44"/>
      <c r="AI305" s="45">
        <v>1</v>
      </c>
      <c r="AJ305" s="46"/>
      <c r="AK305" s="41"/>
      <c r="AL305" s="47"/>
      <c r="AM305" s="48"/>
      <c r="AN305" s="111"/>
      <c r="AO305" s="42"/>
      <c r="AP305" s="42"/>
      <c r="AQ305" s="115"/>
      <c r="AR305" s="75"/>
      <c r="AS305" s="40">
        <f t="shared" si="29"/>
        <v>1</v>
      </c>
      <c r="AW305" s="49">
        <f t="shared" si="30"/>
        <v>0</v>
      </c>
      <c r="AX305" s="49">
        <f t="shared" si="31"/>
        <v>1</v>
      </c>
      <c r="AY305" s="49">
        <f t="shared" si="32"/>
        <v>1</v>
      </c>
      <c r="AZ305" s="49">
        <f t="shared" si="33"/>
        <v>-1</v>
      </c>
      <c r="BA305" s="49">
        <f>COUNTA(#REF!)</f>
        <v>1</v>
      </c>
      <c r="BB305" s="49">
        <f t="shared" si="34"/>
        <v>0</v>
      </c>
      <c r="BC305" s="49"/>
      <c r="BD305" s="49"/>
      <c r="BE305" s="49"/>
    </row>
    <row r="306" spans="1:57" ht="26" hidden="1" x14ac:dyDescent="0.35">
      <c r="A306" s="123" t="s">
        <v>2142</v>
      </c>
      <c r="B306" s="123" t="s">
        <v>2143</v>
      </c>
      <c r="C306" s="124" t="s">
        <v>2152</v>
      </c>
      <c r="D306" s="124" t="s">
        <v>8</v>
      </c>
      <c r="E306" s="124">
        <v>300</v>
      </c>
      <c r="F306" s="124" t="s">
        <v>2162</v>
      </c>
      <c r="G306" s="85"/>
      <c r="H306" s="86"/>
      <c r="I306" s="87">
        <v>2</v>
      </c>
      <c r="J306" s="88"/>
      <c r="K306" s="89"/>
      <c r="L306" s="90" t="s">
        <v>12</v>
      </c>
      <c r="M306" s="165"/>
      <c r="N306" s="134"/>
      <c r="O306" s="45"/>
      <c r="P306" s="130" t="s">
        <v>12</v>
      </c>
      <c r="Q306" s="45"/>
      <c r="R306" s="136"/>
      <c r="S306" s="139"/>
      <c r="T306" s="136"/>
      <c r="U306" s="139"/>
      <c r="V306" s="45"/>
      <c r="W306" s="136"/>
      <c r="X306" s="134"/>
      <c r="Y306" s="166" t="s">
        <v>12</v>
      </c>
      <c r="Z306" s="126"/>
      <c r="AA306" s="130"/>
      <c r="AB306" s="126"/>
      <c r="AC306" s="130"/>
      <c r="AD306" s="126"/>
      <c r="AE306" s="130"/>
      <c r="AF306" s="126"/>
      <c r="AG306" s="43"/>
      <c r="AH306" s="44"/>
      <c r="AI306" s="45"/>
      <c r="AJ306" s="46"/>
      <c r="AK306" s="41"/>
      <c r="AL306" s="47"/>
      <c r="AM306" s="48"/>
      <c r="AN306" s="111">
        <v>1</v>
      </c>
      <c r="AO306" s="42"/>
      <c r="AP306" s="42"/>
      <c r="AQ306" s="115"/>
      <c r="AR306" s="75"/>
      <c r="AS306" s="40">
        <f t="shared" si="29"/>
        <v>1</v>
      </c>
      <c r="AW306" s="49">
        <f t="shared" si="30"/>
        <v>100</v>
      </c>
      <c r="AX306" s="49">
        <f t="shared" si="31"/>
        <v>2</v>
      </c>
      <c r="AY306" s="49">
        <f t="shared" si="32"/>
        <v>2</v>
      </c>
      <c r="AZ306" s="49">
        <f t="shared" si="33"/>
        <v>-1</v>
      </c>
      <c r="BA306" s="49">
        <f>COUNTA(#REF!)</f>
        <v>1</v>
      </c>
      <c r="BB306" s="49">
        <f t="shared" si="34"/>
        <v>0</v>
      </c>
      <c r="BC306" s="49"/>
      <c r="BD306" s="49"/>
      <c r="BE306" s="49">
        <v>0</v>
      </c>
    </row>
    <row r="307" spans="1:57" ht="26" x14ac:dyDescent="0.35">
      <c r="A307" s="123" t="s">
        <v>2142</v>
      </c>
      <c r="B307" s="123" t="s">
        <v>2143</v>
      </c>
      <c r="C307" s="124" t="s">
        <v>2153</v>
      </c>
      <c r="D307" s="124" t="s">
        <v>8</v>
      </c>
      <c r="E307" s="124">
        <v>200</v>
      </c>
      <c r="F307" s="124" t="s">
        <v>2163</v>
      </c>
      <c r="G307" s="85"/>
      <c r="H307" s="86">
        <v>1</v>
      </c>
      <c r="I307" s="87"/>
      <c r="J307" s="88" t="s">
        <v>12</v>
      </c>
      <c r="K307" s="89"/>
      <c r="L307" s="90" t="s">
        <v>12</v>
      </c>
      <c r="M307" s="165"/>
      <c r="N307" s="134"/>
      <c r="O307" s="45"/>
      <c r="P307" s="130"/>
      <c r="Q307" s="45"/>
      <c r="R307" s="136"/>
      <c r="S307" s="139"/>
      <c r="T307" s="136"/>
      <c r="U307" s="139" t="s">
        <v>12</v>
      </c>
      <c r="V307" s="45"/>
      <c r="W307" s="136"/>
      <c r="X307" s="134"/>
      <c r="Y307" s="166" t="s">
        <v>12</v>
      </c>
      <c r="Z307" s="126"/>
      <c r="AA307" s="130"/>
      <c r="AB307" s="126"/>
      <c r="AC307" s="130"/>
      <c r="AD307" s="126"/>
      <c r="AE307" s="130"/>
      <c r="AF307" s="126"/>
      <c r="AG307" s="43"/>
      <c r="AH307" s="44"/>
      <c r="AI307" s="45"/>
      <c r="AJ307" s="46"/>
      <c r="AK307" s="41"/>
      <c r="AL307" s="47"/>
      <c r="AM307" s="48"/>
      <c r="AN307" s="111">
        <v>1</v>
      </c>
      <c r="AO307" s="42"/>
      <c r="AP307" s="42"/>
      <c r="AQ307" s="115"/>
      <c r="AR307" s="75"/>
      <c r="AS307" s="40">
        <f t="shared" si="29"/>
        <v>1</v>
      </c>
      <c r="AW307" s="49">
        <f t="shared" si="30"/>
        <v>100</v>
      </c>
      <c r="AX307" s="49">
        <f t="shared" si="31"/>
        <v>1</v>
      </c>
      <c r="AY307" s="49">
        <f t="shared" si="32"/>
        <v>1</v>
      </c>
      <c r="AZ307" s="49">
        <f t="shared" si="33"/>
        <v>-2</v>
      </c>
      <c r="BA307" s="49">
        <f>COUNTA(#REF!)</f>
        <v>1</v>
      </c>
      <c r="BB307" s="49">
        <f t="shared" si="34"/>
        <v>0</v>
      </c>
      <c r="BC307" s="49"/>
      <c r="BD307" s="49">
        <v>-1</v>
      </c>
      <c r="BE307" s="49">
        <v>2</v>
      </c>
    </row>
    <row r="308" spans="1:57" hidden="1" x14ac:dyDescent="0.35">
      <c r="A308" s="123" t="s">
        <v>2142</v>
      </c>
      <c r="B308" s="123" t="s">
        <v>2143</v>
      </c>
      <c r="C308" s="124" t="s">
        <v>2405</v>
      </c>
      <c r="D308" s="124" t="s">
        <v>8</v>
      </c>
      <c r="E308" s="124">
        <v>200</v>
      </c>
      <c r="F308" s="124" t="s">
        <v>2406</v>
      </c>
      <c r="G308" s="85">
        <v>1</v>
      </c>
      <c r="H308" s="86"/>
      <c r="I308" s="87">
        <v>1</v>
      </c>
      <c r="J308" s="88"/>
      <c r="K308" s="89"/>
      <c r="L308" s="90" t="s">
        <v>12</v>
      </c>
      <c r="M308" s="165"/>
      <c r="N308" s="134"/>
      <c r="O308" s="45"/>
      <c r="P308" s="130"/>
      <c r="Q308" s="45"/>
      <c r="R308" s="136"/>
      <c r="S308" s="139"/>
      <c r="T308" s="136"/>
      <c r="U308" s="139"/>
      <c r="V308" s="45"/>
      <c r="W308" s="136"/>
      <c r="X308" s="134"/>
      <c r="Y308" s="166" t="s">
        <v>12</v>
      </c>
      <c r="Z308" s="126"/>
      <c r="AA308" s="130"/>
      <c r="AB308" s="126"/>
      <c r="AC308" s="130"/>
      <c r="AD308" s="126"/>
      <c r="AE308" s="130"/>
      <c r="AF308" s="126"/>
      <c r="AG308" s="43"/>
      <c r="AH308" s="44">
        <v>1</v>
      </c>
      <c r="AI308" s="45"/>
      <c r="AJ308" s="46"/>
      <c r="AK308" s="41"/>
      <c r="AL308" s="47"/>
      <c r="AM308" s="48"/>
      <c r="AN308" s="111"/>
      <c r="AO308" s="42"/>
      <c r="AP308" s="42"/>
      <c r="AQ308" s="115"/>
      <c r="AR308" s="75"/>
      <c r="AS308" s="40">
        <f t="shared" si="29"/>
        <v>1</v>
      </c>
      <c r="AW308" s="49">
        <f t="shared" si="30"/>
        <v>0</v>
      </c>
      <c r="AX308" s="49">
        <f t="shared" si="31"/>
        <v>2</v>
      </c>
      <c r="AY308" s="49">
        <f t="shared" si="32"/>
        <v>2</v>
      </c>
      <c r="AZ308" s="49">
        <f t="shared" si="33"/>
        <v>-1</v>
      </c>
      <c r="BA308" s="49">
        <f>COUNTA(#REF!)</f>
        <v>1</v>
      </c>
      <c r="BB308" s="49">
        <f t="shared" si="34"/>
        <v>0</v>
      </c>
      <c r="BC308" s="49"/>
      <c r="BD308" s="49"/>
      <c r="BE308" s="49">
        <v>0</v>
      </c>
    </row>
    <row r="309" spans="1:57" hidden="1" x14ac:dyDescent="0.35">
      <c r="A309" s="123" t="s">
        <v>2142</v>
      </c>
      <c r="B309" s="123" t="s">
        <v>2143</v>
      </c>
      <c r="C309" s="124" t="s">
        <v>2154</v>
      </c>
      <c r="D309" s="124" t="s">
        <v>8</v>
      </c>
      <c r="E309" s="124">
        <v>100</v>
      </c>
      <c r="F309" s="124" t="s">
        <v>9</v>
      </c>
      <c r="G309" s="85">
        <v>1</v>
      </c>
      <c r="H309" s="86"/>
      <c r="I309" s="87"/>
      <c r="J309" s="88"/>
      <c r="K309" s="89"/>
      <c r="L309" s="90"/>
      <c r="M309" s="165"/>
      <c r="N309" s="134"/>
      <c r="O309" s="45"/>
      <c r="P309" s="130"/>
      <c r="Q309" s="45"/>
      <c r="R309" s="136"/>
      <c r="S309" s="139"/>
      <c r="T309" s="136"/>
      <c r="U309" s="139"/>
      <c r="V309" s="45"/>
      <c r="W309" s="136"/>
      <c r="X309" s="134"/>
      <c r="Y309" s="166" t="s">
        <v>12</v>
      </c>
      <c r="Z309" s="126"/>
      <c r="AA309" s="130"/>
      <c r="AB309" s="126"/>
      <c r="AC309" s="130"/>
      <c r="AD309" s="126"/>
      <c r="AE309" s="130"/>
      <c r="AF309" s="126"/>
      <c r="AG309" s="43"/>
      <c r="AH309" s="44">
        <v>2</v>
      </c>
      <c r="AI309" s="45"/>
      <c r="AJ309" s="46"/>
      <c r="AK309" s="41"/>
      <c r="AL309" s="47"/>
      <c r="AM309" s="48"/>
      <c r="AN309" s="111">
        <v>2</v>
      </c>
      <c r="AO309" s="42"/>
      <c r="AP309" s="42"/>
      <c r="AQ309" s="115"/>
      <c r="AR309" s="75"/>
      <c r="AS309" s="40">
        <f t="shared" si="29"/>
        <v>4</v>
      </c>
      <c r="AW309" s="49">
        <f t="shared" si="30"/>
        <v>0</v>
      </c>
      <c r="AX309" s="49">
        <f t="shared" si="31"/>
        <v>1</v>
      </c>
      <c r="AY309" s="49">
        <f t="shared" si="32"/>
        <v>1</v>
      </c>
      <c r="AZ309" s="49">
        <f t="shared" si="33"/>
        <v>0</v>
      </c>
      <c r="BA309" s="49">
        <f>COUNTA(#REF!)</f>
        <v>1</v>
      </c>
      <c r="BB309" s="49">
        <f t="shared" si="34"/>
        <v>0</v>
      </c>
      <c r="BC309" s="49"/>
      <c r="BD309" s="49">
        <v>-1</v>
      </c>
      <c r="BE309" s="49">
        <v>0</v>
      </c>
    </row>
    <row r="310" spans="1:57" ht="26" hidden="1" x14ac:dyDescent="0.35">
      <c r="A310" s="123" t="s">
        <v>2142</v>
      </c>
      <c r="B310" s="123" t="s">
        <v>2143</v>
      </c>
      <c r="C310" s="124" t="s">
        <v>2188</v>
      </c>
      <c r="D310" s="124" t="s">
        <v>8</v>
      </c>
      <c r="E310" s="124">
        <v>200</v>
      </c>
      <c r="F310" s="124" t="s">
        <v>2189</v>
      </c>
      <c r="G310" s="85">
        <v>1</v>
      </c>
      <c r="H310" s="86">
        <v>1</v>
      </c>
      <c r="I310" s="87"/>
      <c r="J310" s="88"/>
      <c r="K310" s="89"/>
      <c r="L310" s="90" t="s">
        <v>12</v>
      </c>
      <c r="M310" s="165"/>
      <c r="N310" s="134"/>
      <c r="O310" s="45" t="s">
        <v>12</v>
      </c>
      <c r="P310" s="130"/>
      <c r="Q310" s="45"/>
      <c r="R310" s="136" t="s">
        <v>12</v>
      </c>
      <c r="S310" s="139"/>
      <c r="T310" s="136"/>
      <c r="U310" s="139"/>
      <c r="V310" s="45"/>
      <c r="W310" s="136"/>
      <c r="X310" s="134"/>
      <c r="Y310" s="166"/>
      <c r="Z310" s="126"/>
      <c r="AA310" s="130"/>
      <c r="AB310" s="126"/>
      <c r="AC310" s="130"/>
      <c r="AD310" s="126"/>
      <c r="AE310" s="130"/>
      <c r="AF310" s="126"/>
      <c r="AG310" s="43"/>
      <c r="AH310" s="44"/>
      <c r="AI310" s="45"/>
      <c r="AJ310" s="46"/>
      <c r="AK310" s="41"/>
      <c r="AL310" s="47"/>
      <c r="AM310" s="48">
        <v>1</v>
      </c>
      <c r="AN310" s="111"/>
      <c r="AO310" s="42"/>
      <c r="AP310" s="42"/>
      <c r="AQ310" s="115"/>
      <c r="AR310" s="75"/>
      <c r="AS310" s="40">
        <f t="shared" si="29"/>
        <v>1</v>
      </c>
      <c r="AW310" s="49">
        <f t="shared" si="30"/>
        <v>0</v>
      </c>
      <c r="AX310" s="49">
        <f t="shared" si="31"/>
        <v>2</v>
      </c>
      <c r="AY310" s="49">
        <f t="shared" si="32"/>
        <v>2</v>
      </c>
      <c r="AZ310" s="49">
        <f t="shared" si="33"/>
        <v>-1</v>
      </c>
      <c r="BA310" s="49">
        <f>COUNTA(#REF!)</f>
        <v>1</v>
      </c>
      <c r="BB310" s="49">
        <f t="shared" si="34"/>
        <v>0</v>
      </c>
      <c r="BC310" s="49"/>
      <c r="BD310" s="49"/>
      <c r="BE310" s="49">
        <v>0</v>
      </c>
    </row>
    <row r="311" spans="1:57" hidden="1" x14ac:dyDescent="0.35">
      <c r="A311" s="123" t="s">
        <v>2142</v>
      </c>
      <c r="B311" s="123" t="s">
        <v>2143</v>
      </c>
      <c r="C311" s="124" t="s">
        <v>2155</v>
      </c>
      <c r="D311" s="124" t="s">
        <v>8</v>
      </c>
      <c r="E311" s="124">
        <v>300</v>
      </c>
      <c r="F311" s="124" t="s">
        <v>2164</v>
      </c>
      <c r="G311" s="85"/>
      <c r="H311" s="86">
        <v>2</v>
      </c>
      <c r="I311" s="87"/>
      <c r="J311" s="88"/>
      <c r="K311" s="89"/>
      <c r="L311" s="90" t="s">
        <v>12</v>
      </c>
      <c r="M311" s="165"/>
      <c r="N311" s="134"/>
      <c r="O311" s="45" t="s">
        <v>12</v>
      </c>
      <c r="P311" s="130"/>
      <c r="Q311" s="45"/>
      <c r="R311" s="136"/>
      <c r="S311" s="139"/>
      <c r="T311" s="136"/>
      <c r="U311" s="139"/>
      <c r="V311" s="45"/>
      <c r="W311" s="136"/>
      <c r="X311" s="134"/>
      <c r="Y311" s="166" t="s">
        <v>12</v>
      </c>
      <c r="Z311" s="126" t="s">
        <v>12</v>
      </c>
      <c r="AA311" s="130"/>
      <c r="AB311" s="126" t="s">
        <v>12</v>
      </c>
      <c r="AC311" s="130"/>
      <c r="AD311" s="126"/>
      <c r="AE311" s="130"/>
      <c r="AF311" s="126"/>
      <c r="AG311" s="43"/>
      <c r="AH311" s="44"/>
      <c r="AI311" s="45"/>
      <c r="AJ311" s="46"/>
      <c r="AK311" s="41"/>
      <c r="AL311" s="47"/>
      <c r="AM311" s="48"/>
      <c r="AN311" s="111">
        <v>1</v>
      </c>
      <c r="AO311" s="42"/>
      <c r="AP311" s="42"/>
      <c r="AQ311" s="115"/>
      <c r="AR311" s="75"/>
      <c r="AS311" s="40">
        <f t="shared" si="29"/>
        <v>1</v>
      </c>
      <c r="AW311" s="49">
        <f t="shared" si="30"/>
        <v>0</v>
      </c>
      <c r="AX311" s="49">
        <f t="shared" si="31"/>
        <v>3</v>
      </c>
      <c r="AY311" s="49">
        <f t="shared" si="32"/>
        <v>2</v>
      </c>
      <c r="AZ311" s="49">
        <f t="shared" si="33"/>
        <v>-1</v>
      </c>
      <c r="BA311" s="49">
        <f>COUNTA(#REF!)</f>
        <v>1</v>
      </c>
      <c r="BB311" s="49">
        <f t="shared" si="34"/>
        <v>2</v>
      </c>
      <c r="BC311" s="49"/>
      <c r="BD311" s="49"/>
      <c r="BE311" s="49">
        <v>-1</v>
      </c>
    </row>
    <row r="312" spans="1:57" ht="26" hidden="1" x14ac:dyDescent="0.35">
      <c r="A312" s="123" t="s">
        <v>2142</v>
      </c>
      <c r="B312" s="123" t="s">
        <v>2143</v>
      </c>
      <c r="C312" s="124" t="s">
        <v>2429</v>
      </c>
      <c r="D312" s="124" t="s">
        <v>131</v>
      </c>
      <c r="E312" s="124">
        <v>1000</v>
      </c>
      <c r="F312" s="124" t="s">
        <v>2178</v>
      </c>
      <c r="G312" s="85"/>
      <c r="H312" s="86"/>
      <c r="I312" s="87">
        <v>1</v>
      </c>
      <c r="J312" s="88"/>
      <c r="K312" s="89"/>
      <c r="L312" s="90"/>
      <c r="M312" s="165"/>
      <c r="N312" s="134"/>
      <c r="O312" s="45"/>
      <c r="P312" s="130"/>
      <c r="Q312" s="45"/>
      <c r="R312" s="136"/>
      <c r="S312" s="139"/>
      <c r="T312" s="136"/>
      <c r="U312" s="139"/>
      <c r="V312" s="45"/>
      <c r="W312" s="136"/>
      <c r="X312" s="134"/>
      <c r="Y312" s="166"/>
      <c r="Z312" s="126" t="s">
        <v>12</v>
      </c>
      <c r="AA312" s="130"/>
      <c r="AB312" s="126"/>
      <c r="AC312" s="130"/>
      <c r="AD312" s="126"/>
      <c r="AE312" s="130"/>
      <c r="AF312" s="126"/>
      <c r="AG312" s="43"/>
      <c r="AH312" s="44"/>
      <c r="AI312" s="45"/>
      <c r="AJ312" s="46"/>
      <c r="AK312" s="41"/>
      <c r="AL312" s="47"/>
      <c r="AM312" s="48"/>
      <c r="AN312" s="111">
        <v>1</v>
      </c>
      <c r="AO312" s="42"/>
      <c r="AP312" s="42"/>
      <c r="AQ312" s="115"/>
      <c r="AR312" s="75"/>
      <c r="AS312" s="40">
        <f t="shared" si="29"/>
        <v>1</v>
      </c>
      <c r="AW312" s="49"/>
      <c r="AX312" s="49"/>
      <c r="AY312" s="49"/>
      <c r="AZ312" s="49"/>
      <c r="BA312" s="49"/>
      <c r="BB312" s="49"/>
      <c r="BC312" s="49"/>
      <c r="BD312" s="49"/>
      <c r="BE312" s="49"/>
    </row>
    <row r="313" spans="1:57" ht="26" hidden="1" x14ac:dyDescent="0.35">
      <c r="A313" s="123" t="s">
        <v>2142</v>
      </c>
      <c r="B313" s="123" t="s">
        <v>2143</v>
      </c>
      <c r="C313" s="124" t="s">
        <v>2420</v>
      </c>
      <c r="D313" s="124" t="s">
        <v>131</v>
      </c>
      <c r="E313" s="124">
        <v>600</v>
      </c>
      <c r="F313" s="124" t="s">
        <v>2421</v>
      </c>
      <c r="G313" s="85">
        <v>1</v>
      </c>
      <c r="H313" s="86"/>
      <c r="I313" s="87"/>
      <c r="J313" s="88"/>
      <c r="K313" s="89"/>
      <c r="L313" s="90"/>
      <c r="M313" s="165"/>
      <c r="N313" s="134"/>
      <c r="O313" s="45"/>
      <c r="P313" s="130"/>
      <c r="Q313" s="45"/>
      <c r="R313" s="136"/>
      <c r="S313" s="139"/>
      <c r="T313" s="136"/>
      <c r="U313" s="139"/>
      <c r="V313" s="45"/>
      <c r="W313" s="136"/>
      <c r="X313" s="134"/>
      <c r="Y313" s="166"/>
      <c r="Z313" s="126"/>
      <c r="AA313" s="130"/>
      <c r="AB313" s="126"/>
      <c r="AC313" s="130"/>
      <c r="AD313" s="126" t="s">
        <v>12</v>
      </c>
      <c r="AE313" s="130"/>
      <c r="AF313" s="126"/>
      <c r="AG313" s="43"/>
      <c r="AH313" s="44"/>
      <c r="AI313" s="45"/>
      <c r="AJ313" s="46"/>
      <c r="AK313" s="41"/>
      <c r="AL313" s="47"/>
      <c r="AM313" s="48"/>
      <c r="AN313" s="111">
        <v>1</v>
      </c>
      <c r="AO313" s="42"/>
      <c r="AP313" s="42"/>
      <c r="AQ313" s="115"/>
      <c r="AR313" s="75"/>
      <c r="AS313" s="40">
        <f t="shared" si="29"/>
        <v>1</v>
      </c>
      <c r="AW313" s="49"/>
      <c r="AX313" s="49"/>
      <c r="AY313" s="49"/>
      <c r="AZ313" s="49"/>
      <c r="BA313" s="49"/>
      <c r="BB313" s="49"/>
      <c r="BC313" s="49"/>
      <c r="BD313" s="49"/>
      <c r="BE313" s="49"/>
    </row>
    <row r="314" spans="1:57" ht="26" hidden="1" x14ac:dyDescent="0.35">
      <c r="A314" s="123" t="s">
        <v>2142</v>
      </c>
      <c r="B314" s="123" t="s">
        <v>2143</v>
      </c>
      <c r="C314" s="124" t="s">
        <v>2165</v>
      </c>
      <c r="D314" s="124" t="s">
        <v>131</v>
      </c>
      <c r="E314" s="124">
        <v>1200</v>
      </c>
      <c r="F314" s="124" t="s">
        <v>2166</v>
      </c>
      <c r="G314" s="85">
        <v>1</v>
      </c>
      <c r="H314" s="86"/>
      <c r="I314" s="87">
        <v>1</v>
      </c>
      <c r="J314" s="88"/>
      <c r="K314" s="89"/>
      <c r="L314" s="90"/>
      <c r="M314" s="165"/>
      <c r="N314" s="134"/>
      <c r="O314" s="45"/>
      <c r="P314" s="130"/>
      <c r="Q314" s="45"/>
      <c r="R314" s="136"/>
      <c r="S314" s="139"/>
      <c r="T314" s="136"/>
      <c r="U314" s="139"/>
      <c r="V314" s="45"/>
      <c r="W314" s="136"/>
      <c r="X314" s="134"/>
      <c r="Y314" s="166"/>
      <c r="Z314" s="126"/>
      <c r="AA314" s="130"/>
      <c r="AB314" s="126"/>
      <c r="AC314" s="130"/>
      <c r="AD314" s="126" t="s">
        <v>12</v>
      </c>
      <c r="AE314" s="130"/>
      <c r="AF314" s="126"/>
      <c r="AG314" s="43"/>
      <c r="AH314" s="44"/>
      <c r="AI314" s="45"/>
      <c r="AJ314" s="46"/>
      <c r="AK314" s="41"/>
      <c r="AL314" s="47"/>
      <c r="AM314" s="48"/>
      <c r="AN314" s="111">
        <v>1</v>
      </c>
      <c r="AO314" s="42"/>
      <c r="AP314" s="42"/>
      <c r="AQ314" s="115"/>
      <c r="AR314" s="75"/>
      <c r="AS314" s="40">
        <f t="shared" si="29"/>
        <v>1</v>
      </c>
      <c r="AW314" s="49"/>
      <c r="AX314" s="49"/>
      <c r="AY314" s="49"/>
      <c r="AZ314" s="49"/>
      <c r="BA314" s="49"/>
      <c r="BB314" s="49"/>
      <c r="BC314" s="49"/>
      <c r="BD314" s="49"/>
      <c r="BE314" s="49"/>
    </row>
    <row r="315" spans="1:57" ht="26" hidden="1" x14ac:dyDescent="0.35">
      <c r="A315" s="123" t="s">
        <v>2142</v>
      </c>
      <c r="B315" s="123" t="s">
        <v>2143</v>
      </c>
      <c r="C315" s="124" t="s">
        <v>2430</v>
      </c>
      <c r="D315" s="124" t="s">
        <v>131</v>
      </c>
      <c r="E315" s="124">
        <v>800</v>
      </c>
      <c r="F315" s="124" t="s">
        <v>2431</v>
      </c>
      <c r="G315" s="85">
        <v>1</v>
      </c>
      <c r="H315" s="86"/>
      <c r="I315" s="87"/>
      <c r="J315" s="88"/>
      <c r="K315" s="89"/>
      <c r="L315" s="90"/>
      <c r="M315" s="165"/>
      <c r="N315" s="134"/>
      <c r="O315" s="45"/>
      <c r="P315" s="130"/>
      <c r="Q315" s="45"/>
      <c r="R315" s="136"/>
      <c r="S315" s="139"/>
      <c r="T315" s="136"/>
      <c r="U315" s="139"/>
      <c r="V315" s="45"/>
      <c r="W315" s="136"/>
      <c r="X315" s="134"/>
      <c r="Y315" s="166"/>
      <c r="Z315" s="126"/>
      <c r="AA315" s="130"/>
      <c r="AB315" s="126"/>
      <c r="AC315" s="130"/>
      <c r="AD315" s="126" t="s">
        <v>12</v>
      </c>
      <c r="AE315" s="130"/>
      <c r="AF315" s="126"/>
      <c r="AG315" s="43"/>
      <c r="AH315" s="44"/>
      <c r="AI315" s="45"/>
      <c r="AJ315" s="46"/>
      <c r="AK315" s="41"/>
      <c r="AL315" s="47"/>
      <c r="AM315" s="48"/>
      <c r="AN315" s="111">
        <v>1</v>
      </c>
      <c r="AO315" s="42"/>
      <c r="AP315" s="42"/>
      <c r="AQ315" s="115"/>
      <c r="AR315" s="75"/>
      <c r="AS315" s="40">
        <f t="shared" si="29"/>
        <v>1</v>
      </c>
      <c r="AW315" s="49"/>
      <c r="AX315" s="49"/>
      <c r="AY315" s="49"/>
      <c r="AZ315" s="49"/>
      <c r="BA315" s="49"/>
      <c r="BB315" s="49"/>
      <c r="BC315" s="49"/>
      <c r="BD315" s="49"/>
      <c r="BE315" s="49"/>
    </row>
    <row r="316" spans="1:57" ht="39" hidden="1" x14ac:dyDescent="0.35">
      <c r="A316" s="123" t="s">
        <v>2142</v>
      </c>
      <c r="B316" s="123" t="s">
        <v>2143</v>
      </c>
      <c r="C316" s="124" t="s">
        <v>2422</v>
      </c>
      <c r="D316" s="124" t="s">
        <v>131</v>
      </c>
      <c r="E316" s="124">
        <v>400</v>
      </c>
      <c r="F316" s="124" t="s">
        <v>2423</v>
      </c>
      <c r="G316" s="85"/>
      <c r="H316" s="86"/>
      <c r="I316" s="87"/>
      <c r="J316" s="88"/>
      <c r="K316" s="89"/>
      <c r="L316" s="90"/>
      <c r="M316" s="165"/>
      <c r="N316" s="134"/>
      <c r="O316" s="45"/>
      <c r="P316" s="130"/>
      <c r="Q316" s="45"/>
      <c r="R316" s="136"/>
      <c r="S316" s="139"/>
      <c r="T316" s="136"/>
      <c r="U316" s="139"/>
      <c r="V316" s="45"/>
      <c r="W316" s="136"/>
      <c r="X316" s="134"/>
      <c r="Y316" s="166"/>
      <c r="Z316" s="126"/>
      <c r="AA316" s="130"/>
      <c r="AB316" s="126" t="s">
        <v>37</v>
      </c>
      <c r="AC316" s="130"/>
      <c r="AD316" s="126"/>
      <c r="AE316" s="130"/>
      <c r="AF316" s="126"/>
      <c r="AG316" s="43"/>
      <c r="AH316" s="44"/>
      <c r="AI316" s="45"/>
      <c r="AJ316" s="46"/>
      <c r="AK316" s="41"/>
      <c r="AL316" s="47"/>
      <c r="AM316" s="48"/>
      <c r="AN316" s="111">
        <v>1</v>
      </c>
      <c r="AO316" s="42"/>
      <c r="AP316" s="42"/>
      <c r="AQ316" s="115"/>
      <c r="AR316" s="75"/>
      <c r="AS316" s="40">
        <f t="shared" si="29"/>
        <v>1</v>
      </c>
      <c r="AW316" s="49"/>
      <c r="AX316" s="49"/>
      <c r="AY316" s="49"/>
      <c r="AZ316" s="49"/>
      <c r="BA316" s="49"/>
      <c r="BB316" s="49"/>
      <c r="BC316" s="49"/>
      <c r="BD316" s="49"/>
      <c r="BE316" s="49"/>
    </row>
    <row r="317" spans="1:57" ht="26" hidden="1" x14ac:dyDescent="0.35">
      <c r="A317" s="123" t="s">
        <v>2142</v>
      </c>
      <c r="B317" s="123" t="s">
        <v>2143</v>
      </c>
      <c r="C317" s="124" t="s">
        <v>2167</v>
      </c>
      <c r="D317" s="124" t="s">
        <v>131</v>
      </c>
      <c r="E317" s="124">
        <v>400</v>
      </c>
      <c r="F317" s="124" t="s">
        <v>2424</v>
      </c>
      <c r="G317" s="85"/>
      <c r="H317" s="86"/>
      <c r="I317" s="87"/>
      <c r="J317" s="88"/>
      <c r="K317" s="89"/>
      <c r="L317" s="90"/>
      <c r="M317" s="165"/>
      <c r="N317" s="134"/>
      <c r="O317" s="45"/>
      <c r="P317" s="130"/>
      <c r="Q317" s="45"/>
      <c r="R317" s="136"/>
      <c r="S317" s="139"/>
      <c r="T317" s="136"/>
      <c r="U317" s="139"/>
      <c r="V317" s="45"/>
      <c r="W317" s="136"/>
      <c r="X317" s="134"/>
      <c r="Y317" s="166"/>
      <c r="Z317" s="126"/>
      <c r="AA317" s="130"/>
      <c r="AB317" s="126"/>
      <c r="AC317" s="130"/>
      <c r="AD317" s="126"/>
      <c r="AE317" s="130"/>
      <c r="AF317" s="126"/>
      <c r="AG317" s="43"/>
      <c r="AH317" s="44"/>
      <c r="AI317" s="45"/>
      <c r="AJ317" s="46">
        <v>1</v>
      </c>
      <c r="AK317" s="41"/>
      <c r="AL317" s="47"/>
      <c r="AM317" s="48"/>
      <c r="AN317" s="111">
        <v>1</v>
      </c>
      <c r="AO317" s="42"/>
      <c r="AP317" s="42"/>
      <c r="AQ317" s="115"/>
      <c r="AR317" s="75"/>
      <c r="AS317" s="40">
        <f t="shared" si="29"/>
        <v>2</v>
      </c>
      <c r="AW317" s="49"/>
      <c r="AX317" s="49"/>
      <c r="AY317" s="49"/>
      <c r="AZ317" s="49"/>
      <c r="BA317" s="49"/>
      <c r="BB317" s="49"/>
      <c r="BC317" s="49"/>
      <c r="BD317" s="49"/>
      <c r="BE317" s="49"/>
    </row>
    <row r="318" spans="1:57" ht="26" hidden="1" x14ac:dyDescent="0.35">
      <c r="A318" s="123" t="s">
        <v>2142</v>
      </c>
      <c r="B318" s="123" t="s">
        <v>2143</v>
      </c>
      <c r="C318" s="124" t="s">
        <v>2425</v>
      </c>
      <c r="D318" s="124" t="s">
        <v>131</v>
      </c>
      <c r="E318" s="124">
        <v>0</v>
      </c>
      <c r="F318" s="124" t="s">
        <v>2435</v>
      </c>
      <c r="G318" s="85"/>
      <c r="H318" s="86"/>
      <c r="I318" s="87"/>
      <c r="J318" s="88"/>
      <c r="K318" s="89"/>
      <c r="L318" s="90"/>
      <c r="M318" s="165"/>
      <c r="N318" s="134"/>
      <c r="O318" s="45"/>
      <c r="P318" s="130"/>
      <c r="Q318" s="45"/>
      <c r="R318" s="136"/>
      <c r="S318" s="139"/>
      <c r="T318" s="136"/>
      <c r="U318" s="139"/>
      <c r="V318" s="45"/>
      <c r="W318" s="136"/>
      <c r="X318" s="134"/>
      <c r="Y318" s="166"/>
      <c r="Z318" s="126"/>
      <c r="AA318" s="130"/>
      <c r="AB318" s="126"/>
      <c r="AC318" s="130"/>
      <c r="AD318" s="126"/>
      <c r="AE318" s="130"/>
      <c r="AF318" s="126"/>
      <c r="AG318" s="43"/>
      <c r="AH318" s="44"/>
      <c r="AI318" s="45"/>
      <c r="AJ318" s="46"/>
      <c r="AK318" s="41"/>
      <c r="AL318" s="47"/>
      <c r="AM318" s="48"/>
      <c r="AN318" s="111">
        <v>1</v>
      </c>
      <c r="AO318" s="42"/>
      <c r="AP318" s="42"/>
      <c r="AQ318" s="115"/>
      <c r="AR318" s="75"/>
      <c r="AS318" s="40">
        <f t="shared" si="29"/>
        <v>1</v>
      </c>
      <c r="AW318" s="49"/>
      <c r="AX318" s="49"/>
      <c r="AY318" s="49"/>
      <c r="AZ318" s="49"/>
      <c r="BA318" s="49"/>
      <c r="BB318" s="49"/>
      <c r="BC318" s="49"/>
      <c r="BD318" s="49"/>
      <c r="BE318" s="49"/>
    </row>
    <row r="319" spans="1:57" ht="26" hidden="1" x14ac:dyDescent="0.35">
      <c r="A319" s="123" t="s">
        <v>2142</v>
      </c>
      <c r="B319" s="123" t="s">
        <v>2143</v>
      </c>
      <c r="C319" s="124" t="s">
        <v>2168</v>
      </c>
      <c r="D319" s="124" t="s">
        <v>131</v>
      </c>
      <c r="E319" s="124">
        <v>800</v>
      </c>
      <c r="F319" s="124" t="s">
        <v>2426</v>
      </c>
      <c r="G319" s="85"/>
      <c r="H319" s="86"/>
      <c r="I319" s="87"/>
      <c r="J319" s="88"/>
      <c r="K319" s="89"/>
      <c r="L319" s="90"/>
      <c r="M319" s="165"/>
      <c r="N319" s="134"/>
      <c r="O319" s="45"/>
      <c r="P319" s="130"/>
      <c r="Q319" s="45"/>
      <c r="R319" s="136"/>
      <c r="S319" s="139"/>
      <c r="T319" s="136"/>
      <c r="U319" s="139"/>
      <c r="V319" s="45"/>
      <c r="W319" s="136"/>
      <c r="X319" s="134"/>
      <c r="Y319" s="166"/>
      <c r="Z319" s="126"/>
      <c r="AA319" s="130"/>
      <c r="AB319" s="126"/>
      <c r="AC319" s="130"/>
      <c r="AD319" s="126"/>
      <c r="AE319" s="130"/>
      <c r="AF319" s="126" t="s">
        <v>12</v>
      </c>
      <c r="AG319" s="43"/>
      <c r="AH319" s="44"/>
      <c r="AI319" s="45">
        <v>1</v>
      </c>
      <c r="AJ319" s="46"/>
      <c r="AK319" s="41"/>
      <c r="AL319" s="47"/>
      <c r="AM319" s="48"/>
      <c r="AN319" s="111">
        <v>1</v>
      </c>
      <c r="AO319" s="42"/>
      <c r="AP319" s="42"/>
      <c r="AQ319" s="115"/>
      <c r="AR319" s="75"/>
      <c r="AS319" s="40">
        <f t="shared" si="29"/>
        <v>2</v>
      </c>
      <c r="AW319" s="49"/>
      <c r="AX319" s="49"/>
      <c r="AY319" s="49"/>
      <c r="AZ319" s="49"/>
      <c r="BA319" s="49"/>
      <c r="BB319" s="49"/>
      <c r="BC319" s="49"/>
      <c r="BD319" s="49"/>
      <c r="BE319" s="49"/>
    </row>
    <row r="320" spans="1:57" ht="39" hidden="1" x14ac:dyDescent="0.35">
      <c r="A320" s="123" t="s">
        <v>2142</v>
      </c>
      <c r="B320" s="123" t="s">
        <v>2143</v>
      </c>
      <c r="C320" s="124" t="s">
        <v>2169</v>
      </c>
      <c r="D320" s="124" t="s">
        <v>131</v>
      </c>
      <c r="E320" s="124">
        <v>400</v>
      </c>
      <c r="F320" s="124" t="s">
        <v>2427</v>
      </c>
      <c r="G320" s="85"/>
      <c r="H320" s="86"/>
      <c r="I320" s="87"/>
      <c r="J320" s="88"/>
      <c r="K320" s="89"/>
      <c r="L320" s="90"/>
      <c r="M320" s="165"/>
      <c r="N320" s="134"/>
      <c r="O320" s="45"/>
      <c r="P320" s="130"/>
      <c r="Q320" s="45"/>
      <c r="R320" s="136"/>
      <c r="S320" s="139"/>
      <c r="T320" s="136"/>
      <c r="U320" s="139"/>
      <c r="V320" s="45"/>
      <c r="W320" s="136"/>
      <c r="X320" s="134"/>
      <c r="Y320" s="166"/>
      <c r="Z320" s="126"/>
      <c r="AA320" s="130"/>
      <c r="AB320" s="126"/>
      <c r="AC320" s="130"/>
      <c r="AD320" s="126"/>
      <c r="AE320" s="130"/>
      <c r="AF320" s="126"/>
      <c r="AG320" s="43"/>
      <c r="AH320" s="44"/>
      <c r="AI320" s="45"/>
      <c r="AJ320" s="46"/>
      <c r="AK320" s="41"/>
      <c r="AL320" s="47"/>
      <c r="AM320" s="48"/>
      <c r="AN320" s="111">
        <v>1</v>
      </c>
      <c r="AO320" s="42"/>
      <c r="AP320" s="42"/>
      <c r="AQ320" s="115"/>
      <c r="AR320" s="75"/>
      <c r="AS320" s="40">
        <f t="shared" si="29"/>
        <v>1</v>
      </c>
      <c r="AW320" s="49"/>
      <c r="AX320" s="49"/>
      <c r="AY320" s="49"/>
      <c r="AZ320" s="49"/>
      <c r="BA320" s="49"/>
      <c r="BB320" s="49"/>
      <c r="BC320" s="49"/>
      <c r="BD320" s="49"/>
      <c r="BE320" s="49"/>
    </row>
    <row r="321" spans="1:57" hidden="1" x14ac:dyDescent="0.35">
      <c r="A321" s="123" t="s">
        <v>2142</v>
      </c>
      <c r="B321" s="123" t="s">
        <v>2143</v>
      </c>
      <c r="C321" s="124" t="s">
        <v>2170</v>
      </c>
      <c r="D321" s="124" t="s">
        <v>131</v>
      </c>
      <c r="E321" s="124">
        <v>600</v>
      </c>
      <c r="F321" s="124" t="s">
        <v>1721</v>
      </c>
      <c r="G321" s="85"/>
      <c r="H321" s="86"/>
      <c r="I321" s="87">
        <v>1</v>
      </c>
      <c r="J321" s="88"/>
      <c r="K321" s="89"/>
      <c r="L321" s="90"/>
      <c r="M321" s="165"/>
      <c r="N321" s="134"/>
      <c r="O321" s="45"/>
      <c r="P321" s="130"/>
      <c r="Q321" s="45"/>
      <c r="R321" s="136"/>
      <c r="S321" s="139"/>
      <c r="T321" s="136"/>
      <c r="U321" s="139"/>
      <c r="V321" s="45"/>
      <c r="W321" s="136"/>
      <c r="X321" s="134"/>
      <c r="Y321" s="166"/>
      <c r="Z321" s="126"/>
      <c r="AA321" s="130"/>
      <c r="AB321" s="126"/>
      <c r="AC321" s="130"/>
      <c r="AD321" s="126"/>
      <c r="AE321" s="130"/>
      <c r="AF321" s="126"/>
      <c r="AG321" s="43"/>
      <c r="AH321" s="44"/>
      <c r="AI321" s="45"/>
      <c r="AJ321" s="46"/>
      <c r="AK321" s="41"/>
      <c r="AL321" s="47"/>
      <c r="AM321" s="48"/>
      <c r="AN321" s="111">
        <v>1</v>
      </c>
      <c r="AO321" s="42"/>
      <c r="AP321" s="42"/>
      <c r="AQ321" s="115"/>
      <c r="AR321" s="75"/>
      <c r="AS321" s="40">
        <f t="shared" si="29"/>
        <v>1</v>
      </c>
      <c r="AW321" s="49"/>
      <c r="AX321" s="49"/>
      <c r="AY321" s="49"/>
      <c r="AZ321" s="49"/>
      <c r="BA321" s="49"/>
      <c r="BB321" s="49"/>
      <c r="BC321" s="49"/>
      <c r="BD321" s="49"/>
      <c r="BE321" s="49"/>
    </row>
    <row r="322" spans="1:57" ht="26" hidden="1" x14ac:dyDescent="0.35">
      <c r="A322" s="123" t="s">
        <v>2142</v>
      </c>
      <c r="B322" s="123" t="s">
        <v>2143</v>
      </c>
      <c r="C322" s="124" t="s">
        <v>803</v>
      </c>
      <c r="D322" s="124" t="s">
        <v>131</v>
      </c>
      <c r="E322" s="124">
        <v>500</v>
      </c>
      <c r="F322" s="124" t="s">
        <v>804</v>
      </c>
      <c r="G322" s="85"/>
      <c r="H322" s="86"/>
      <c r="I322" s="87"/>
      <c r="J322" s="88"/>
      <c r="K322" s="89"/>
      <c r="L322" s="90"/>
      <c r="M322" s="165"/>
      <c r="N322" s="134"/>
      <c r="O322" s="45"/>
      <c r="P322" s="130"/>
      <c r="Q322" s="45"/>
      <c r="R322" s="136"/>
      <c r="S322" s="139"/>
      <c r="T322" s="136"/>
      <c r="U322" s="139"/>
      <c r="V322" s="45"/>
      <c r="W322" s="136"/>
      <c r="X322" s="134"/>
      <c r="Y322" s="166"/>
      <c r="Z322" s="126"/>
      <c r="AA322" s="130"/>
      <c r="AB322" s="126"/>
      <c r="AC322" s="130"/>
      <c r="AD322" s="126"/>
      <c r="AE322" s="130"/>
      <c r="AF322" s="126"/>
      <c r="AG322" s="43"/>
      <c r="AH322" s="44"/>
      <c r="AI322" s="45"/>
      <c r="AJ322" s="46"/>
      <c r="AK322" s="41"/>
      <c r="AL322" s="47"/>
      <c r="AM322" s="48"/>
      <c r="AN322" s="111">
        <v>1</v>
      </c>
      <c r="AO322" s="42"/>
      <c r="AP322" s="42"/>
      <c r="AQ322" s="115"/>
      <c r="AR322" s="75"/>
      <c r="AS322" s="40">
        <f t="shared" si="29"/>
        <v>1</v>
      </c>
      <c r="AW322" s="49"/>
      <c r="AX322" s="49"/>
      <c r="AY322" s="49"/>
      <c r="AZ322" s="49"/>
      <c r="BA322" s="49"/>
      <c r="BB322" s="49"/>
      <c r="BC322" s="49"/>
      <c r="BD322" s="49"/>
      <c r="BE322" s="49"/>
    </row>
    <row r="323" spans="1:57" ht="39" hidden="1" x14ac:dyDescent="0.35">
      <c r="A323" s="123" t="s">
        <v>2142</v>
      </c>
      <c r="B323" s="123" t="s">
        <v>2143</v>
      </c>
      <c r="C323" s="124" t="s">
        <v>2173</v>
      </c>
      <c r="D323" s="124" t="s">
        <v>131</v>
      </c>
      <c r="E323" s="124">
        <v>1000</v>
      </c>
      <c r="F323" s="124" t="s">
        <v>2174</v>
      </c>
      <c r="G323" s="85"/>
      <c r="H323" s="86"/>
      <c r="I323" s="87"/>
      <c r="J323" s="88"/>
      <c r="K323" s="89"/>
      <c r="L323" s="90"/>
      <c r="M323" s="165"/>
      <c r="N323" s="134"/>
      <c r="O323" s="45"/>
      <c r="P323" s="130"/>
      <c r="Q323" s="45"/>
      <c r="R323" s="136"/>
      <c r="S323" s="139"/>
      <c r="T323" s="136"/>
      <c r="U323" s="139"/>
      <c r="V323" s="45"/>
      <c r="W323" s="136"/>
      <c r="X323" s="134"/>
      <c r="Y323" s="166"/>
      <c r="Z323" s="126"/>
      <c r="AA323" s="130"/>
      <c r="AB323" s="126"/>
      <c r="AC323" s="130"/>
      <c r="AD323" s="126"/>
      <c r="AE323" s="130"/>
      <c r="AF323" s="126"/>
      <c r="AG323" s="43"/>
      <c r="AH323" s="44"/>
      <c r="AI323" s="45">
        <v>1</v>
      </c>
      <c r="AJ323" s="46"/>
      <c r="AK323" s="41"/>
      <c r="AL323" s="47"/>
      <c r="AM323" s="48"/>
      <c r="AN323" s="111">
        <v>1</v>
      </c>
      <c r="AO323" s="42"/>
      <c r="AP323" s="42"/>
      <c r="AQ323" s="115"/>
      <c r="AR323" s="75"/>
      <c r="AS323" s="40">
        <f t="shared" si="29"/>
        <v>2</v>
      </c>
      <c r="AW323" s="49"/>
      <c r="AX323" s="49"/>
      <c r="AY323" s="49"/>
      <c r="AZ323" s="49"/>
      <c r="BA323" s="49"/>
      <c r="BB323" s="49"/>
      <c r="BC323" s="49"/>
      <c r="BD323" s="49"/>
      <c r="BE323" s="49"/>
    </row>
    <row r="324" spans="1:57" ht="26" hidden="1" x14ac:dyDescent="0.35">
      <c r="A324" s="123" t="s">
        <v>2142</v>
      </c>
      <c r="B324" s="123" t="s">
        <v>2143</v>
      </c>
      <c r="C324" s="124" t="s">
        <v>2418</v>
      </c>
      <c r="D324" s="124" t="s">
        <v>131</v>
      </c>
      <c r="E324" s="124">
        <v>0</v>
      </c>
      <c r="F324" s="124" t="s">
        <v>2419</v>
      </c>
      <c r="G324" s="85"/>
      <c r="H324" s="86"/>
      <c r="I324" s="87"/>
      <c r="J324" s="88"/>
      <c r="K324" s="89"/>
      <c r="L324" s="90"/>
      <c r="M324" s="165"/>
      <c r="N324" s="134"/>
      <c r="O324" s="45"/>
      <c r="P324" s="130"/>
      <c r="Q324" s="45"/>
      <c r="R324" s="136"/>
      <c r="S324" s="139"/>
      <c r="T324" s="136"/>
      <c r="U324" s="139"/>
      <c r="V324" s="45"/>
      <c r="W324" s="136"/>
      <c r="X324" s="134"/>
      <c r="Y324" s="166"/>
      <c r="Z324" s="126"/>
      <c r="AA324" s="130"/>
      <c r="AB324" s="126"/>
      <c r="AC324" s="130"/>
      <c r="AD324" s="126"/>
      <c r="AE324" s="130"/>
      <c r="AF324" s="126"/>
      <c r="AG324" s="43"/>
      <c r="AH324" s="44"/>
      <c r="AI324" s="45"/>
      <c r="AJ324" s="46"/>
      <c r="AK324" s="41"/>
      <c r="AL324" s="47"/>
      <c r="AM324" s="48">
        <v>1</v>
      </c>
      <c r="AN324" s="111"/>
      <c r="AO324" s="42"/>
      <c r="AP324" s="42"/>
      <c r="AQ324" s="115"/>
      <c r="AR324" s="75"/>
      <c r="AS324" s="40">
        <f t="shared" ref="AS324:AS375" si="35">SUM(AG324:AR324)</f>
        <v>1</v>
      </c>
      <c r="AW324" s="49"/>
      <c r="AX324" s="49"/>
      <c r="AY324" s="49"/>
      <c r="AZ324" s="49"/>
      <c r="BA324" s="49"/>
      <c r="BB324" s="49"/>
      <c r="BC324" s="49"/>
      <c r="BD324" s="49"/>
      <c r="BE324" s="49"/>
    </row>
    <row r="325" spans="1:57" ht="26" hidden="1" x14ac:dyDescent="0.35">
      <c r="A325" s="123" t="s">
        <v>2142</v>
      </c>
      <c r="B325" s="123" t="s">
        <v>2143</v>
      </c>
      <c r="C325" s="124" t="s">
        <v>2197</v>
      </c>
      <c r="D325" s="124" t="s">
        <v>131</v>
      </c>
      <c r="E325" s="124">
        <v>200</v>
      </c>
      <c r="F325" s="124" t="s">
        <v>2198</v>
      </c>
      <c r="G325" s="85"/>
      <c r="H325" s="86"/>
      <c r="I325" s="87"/>
      <c r="J325" s="88"/>
      <c r="K325" s="89"/>
      <c r="L325" s="90"/>
      <c r="M325" s="165"/>
      <c r="N325" s="134"/>
      <c r="O325" s="45"/>
      <c r="P325" s="130"/>
      <c r="Q325" s="45"/>
      <c r="R325" s="136"/>
      <c r="S325" s="139"/>
      <c r="T325" s="136"/>
      <c r="U325" s="139"/>
      <c r="V325" s="45"/>
      <c r="W325" s="136"/>
      <c r="X325" s="134"/>
      <c r="Y325" s="166"/>
      <c r="Z325" s="126"/>
      <c r="AA325" s="130"/>
      <c r="AB325" s="126"/>
      <c r="AC325" s="130"/>
      <c r="AD325" s="126"/>
      <c r="AE325" s="130"/>
      <c r="AF325" s="126"/>
      <c r="AG325" s="43"/>
      <c r="AH325" s="44"/>
      <c r="AI325" s="45"/>
      <c r="AJ325" s="46"/>
      <c r="AK325" s="41"/>
      <c r="AL325" s="47">
        <v>1</v>
      </c>
      <c r="AM325" s="48"/>
      <c r="AN325" s="111"/>
      <c r="AO325" s="42"/>
      <c r="AP325" s="42"/>
      <c r="AQ325" s="115"/>
      <c r="AR325" s="75"/>
      <c r="AS325" s="40">
        <f t="shared" si="35"/>
        <v>1</v>
      </c>
      <c r="AW325" s="49"/>
      <c r="AX325" s="49"/>
      <c r="AY325" s="49"/>
      <c r="AZ325" s="49"/>
      <c r="BA325" s="49"/>
      <c r="BB325" s="49"/>
      <c r="BC325" s="49"/>
      <c r="BD325" s="49"/>
      <c r="BE325" s="49"/>
    </row>
    <row r="326" spans="1:57" ht="39" hidden="1" x14ac:dyDescent="0.35">
      <c r="A326" s="123" t="s">
        <v>2142</v>
      </c>
      <c r="B326" s="123" t="s">
        <v>2143</v>
      </c>
      <c r="C326" s="124" t="s">
        <v>2175</v>
      </c>
      <c r="D326" s="124" t="s">
        <v>131</v>
      </c>
      <c r="E326" s="124">
        <v>600</v>
      </c>
      <c r="F326" s="124" t="s">
        <v>2428</v>
      </c>
      <c r="G326" s="85"/>
      <c r="H326" s="86"/>
      <c r="I326" s="87"/>
      <c r="J326" s="88"/>
      <c r="K326" s="89"/>
      <c r="L326" s="90"/>
      <c r="M326" s="165"/>
      <c r="N326" s="134"/>
      <c r="O326" s="45"/>
      <c r="P326" s="130"/>
      <c r="Q326" s="45"/>
      <c r="R326" s="136"/>
      <c r="S326" s="139"/>
      <c r="T326" s="136"/>
      <c r="U326" s="139"/>
      <c r="V326" s="45"/>
      <c r="W326" s="136"/>
      <c r="X326" s="134"/>
      <c r="Y326" s="166"/>
      <c r="Z326" s="126"/>
      <c r="AA326" s="130"/>
      <c r="AB326" s="126"/>
      <c r="AC326" s="130"/>
      <c r="AD326" s="126"/>
      <c r="AE326" s="130"/>
      <c r="AF326" s="126"/>
      <c r="AG326" s="43"/>
      <c r="AH326" s="44"/>
      <c r="AI326" s="45"/>
      <c r="AJ326" s="46"/>
      <c r="AK326" s="41"/>
      <c r="AL326" s="47"/>
      <c r="AM326" s="48"/>
      <c r="AN326" s="111">
        <v>1</v>
      </c>
      <c r="AO326" s="42"/>
      <c r="AP326" s="42"/>
      <c r="AQ326" s="115"/>
      <c r="AR326" s="75"/>
      <c r="AS326" s="40">
        <f t="shared" si="35"/>
        <v>1</v>
      </c>
      <c r="AW326" s="49"/>
      <c r="AX326" s="49"/>
      <c r="AY326" s="49"/>
      <c r="AZ326" s="49"/>
      <c r="BA326" s="49"/>
      <c r="BB326" s="49"/>
      <c r="BC326" s="49"/>
      <c r="BD326" s="49"/>
      <c r="BE326" s="49"/>
    </row>
    <row r="327" spans="1:57" ht="52" hidden="1" x14ac:dyDescent="0.35">
      <c r="A327" s="123" t="s">
        <v>2142</v>
      </c>
      <c r="B327" s="123" t="s">
        <v>2143</v>
      </c>
      <c r="C327" s="124" t="s">
        <v>2176</v>
      </c>
      <c r="D327" s="124" t="s">
        <v>131</v>
      </c>
      <c r="E327" s="124">
        <v>0</v>
      </c>
      <c r="F327" s="124" t="s">
        <v>2177</v>
      </c>
      <c r="G327" s="85"/>
      <c r="H327" s="86"/>
      <c r="I327" s="87"/>
      <c r="J327" s="88"/>
      <c r="K327" s="89"/>
      <c r="L327" s="90"/>
      <c r="M327" s="165"/>
      <c r="N327" s="134"/>
      <c r="O327" s="45"/>
      <c r="P327" s="130"/>
      <c r="Q327" s="45"/>
      <c r="R327" s="136"/>
      <c r="S327" s="139"/>
      <c r="T327" s="136"/>
      <c r="U327" s="139"/>
      <c r="V327" s="45"/>
      <c r="W327" s="136"/>
      <c r="X327" s="134"/>
      <c r="Y327" s="166"/>
      <c r="Z327" s="126"/>
      <c r="AA327" s="130"/>
      <c r="AB327" s="126"/>
      <c r="AC327" s="130"/>
      <c r="AD327" s="126"/>
      <c r="AE327" s="130"/>
      <c r="AF327" s="126"/>
      <c r="AG327" s="43"/>
      <c r="AH327" s="44"/>
      <c r="AI327" s="45"/>
      <c r="AJ327" s="46"/>
      <c r="AK327" s="41"/>
      <c r="AL327" s="47"/>
      <c r="AM327" s="48"/>
      <c r="AN327" s="111">
        <v>1</v>
      </c>
      <c r="AO327" s="42"/>
      <c r="AP327" s="42"/>
      <c r="AQ327" s="115"/>
      <c r="AR327" s="75"/>
      <c r="AS327" s="40">
        <f t="shared" si="35"/>
        <v>1</v>
      </c>
      <c r="AW327" s="49"/>
      <c r="AX327" s="49"/>
      <c r="AY327" s="49"/>
      <c r="AZ327" s="49"/>
      <c r="BA327" s="49"/>
      <c r="BB327" s="49"/>
      <c r="BC327" s="49"/>
      <c r="BD327" s="49"/>
      <c r="BE327" s="49"/>
    </row>
    <row r="328" spans="1:57" ht="26" hidden="1" x14ac:dyDescent="0.35">
      <c r="A328" s="123" t="s">
        <v>2142</v>
      </c>
      <c r="B328" s="123" t="s">
        <v>2143</v>
      </c>
      <c r="C328" s="124" t="s">
        <v>2432</v>
      </c>
      <c r="D328" s="124" t="s">
        <v>131</v>
      </c>
      <c r="E328" s="124">
        <v>0</v>
      </c>
      <c r="F328" s="124" t="s">
        <v>2433</v>
      </c>
      <c r="G328" s="85"/>
      <c r="H328" s="86"/>
      <c r="I328" s="87"/>
      <c r="J328" s="88"/>
      <c r="K328" s="89"/>
      <c r="L328" s="90"/>
      <c r="M328" s="165"/>
      <c r="N328" s="134"/>
      <c r="O328" s="45"/>
      <c r="P328" s="130"/>
      <c r="Q328" s="45"/>
      <c r="R328" s="136"/>
      <c r="S328" s="139"/>
      <c r="T328" s="136"/>
      <c r="U328" s="139"/>
      <c r="V328" s="45"/>
      <c r="W328" s="136"/>
      <c r="X328" s="134"/>
      <c r="Y328" s="166"/>
      <c r="Z328" s="126"/>
      <c r="AA328" s="130"/>
      <c r="AB328" s="126"/>
      <c r="AC328" s="130"/>
      <c r="AD328" s="126"/>
      <c r="AE328" s="130"/>
      <c r="AF328" s="126"/>
      <c r="AG328" s="43"/>
      <c r="AH328" s="44"/>
      <c r="AI328" s="45"/>
      <c r="AJ328" s="46"/>
      <c r="AK328" s="41"/>
      <c r="AL328" s="47">
        <v>1</v>
      </c>
      <c r="AM328" s="48"/>
      <c r="AN328" s="111"/>
      <c r="AO328" s="42"/>
      <c r="AP328" s="42"/>
      <c r="AQ328" s="115"/>
      <c r="AR328" s="75"/>
      <c r="AS328" s="40">
        <f t="shared" si="35"/>
        <v>1</v>
      </c>
      <c r="AW328" s="49"/>
      <c r="AX328" s="49"/>
      <c r="AY328" s="49"/>
      <c r="AZ328" s="49"/>
      <c r="BA328" s="49"/>
      <c r="BB328" s="49"/>
      <c r="BC328" s="49"/>
      <c r="BD328" s="49"/>
      <c r="BE328" s="49"/>
    </row>
    <row r="329" spans="1:57" hidden="1" x14ac:dyDescent="0.35">
      <c r="A329" s="123" t="s">
        <v>2142</v>
      </c>
      <c r="B329" s="123" t="s">
        <v>2143</v>
      </c>
      <c r="C329" s="124" t="s">
        <v>2171</v>
      </c>
      <c r="D329" s="124" t="s">
        <v>131</v>
      </c>
      <c r="E329" s="124">
        <v>1000</v>
      </c>
      <c r="F329" s="124" t="s">
        <v>2172</v>
      </c>
      <c r="G329" s="85"/>
      <c r="H329" s="86"/>
      <c r="I329" s="87">
        <v>1</v>
      </c>
      <c r="J329" s="88"/>
      <c r="K329" s="89"/>
      <c r="L329" s="90"/>
      <c r="M329" s="165"/>
      <c r="N329" s="134"/>
      <c r="O329" s="45"/>
      <c r="P329" s="130"/>
      <c r="Q329" s="45"/>
      <c r="R329" s="136"/>
      <c r="S329" s="139"/>
      <c r="T329" s="136"/>
      <c r="U329" s="139"/>
      <c r="V329" s="45"/>
      <c r="W329" s="136"/>
      <c r="X329" s="134"/>
      <c r="Y329" s="166"/>
      <c r="Z329" s="126"/>
      <c r="AA329" s="130" t="s">
        <v>12</v>
      </c>
      <c r="AB329" s="126"/>
      <c r="AC329" s="130"/>
      <c r="AD329" s="126"/>
      <c r="AE329" s="130"/>
      <c r="AF329" s="126"/>
      <c r="AG329" s="43"/>
      <c r="AH329" s="44"/>
      <c r="AI329" s="45"/>
      <c r="AJ329" s="46"/>
      <c r="AK329" s="41"/>
      <c r="AL329" s="47"/>
      <c r="AM329" s="48"/>
      <c r="AN329" s="111">
        <v>1</v>
      </c>
      <c r="AO329" s="42"/>
      <c r="AP329" s="42"/>
      <c r="AQ329" s="115"/>
      <c r="AR329" s="75"/>
      <c r="AS329" s="40">
        <f t="shared" si="35"/>
        <v>1</v>
      </c>
      <c r="AW329" s="49"/>
      <c r="AX329" s="49"/>
      <c r="AY329" s="49"/>
      <c r="AZ329" s="49"/>
      <c r="BA329" s="49"/>
      <c r="BB329" s="49"/>
      <c r="BC329" s="49"/>
      <c r="BD329" s="49"/>
      <c r="BE329" s="49"/>
    </row>
    <row r="330" spans="1:57" ht="26" hidden="1" x14ac:dyDescent="0.35">
      <c r="A330" s="123" t="s">
        <v>2142</v>
      </c>
      <c r="B330" s="123" t="s">
        <v>2143</v>
      </c>
      <c r="C330" s="124" t="s">
        <v>2219</v>
      </c>
      <c r="D330" s="124" t="s">
        <v>136</v>
      </c>
      <c r="E330" s="124"/>
      <c r="F330" s="124" t="s">
        <v>2410</v>
      </c>
      <c r="G330" s="85">
        <v>1</v>
      </c>
      <c r="H330" s="86"/>
      <c r="I330" s="87">
        <v>2</v>
      </c>
      <c r="J330" s="88"/>
      <c r="K330" s="89" t="s">
        <v>12</v>
      </c>
      <c r="L330" s="90"/>
      <c r="M330" s="165"/>
      <c r="N330" s="134"/>
      <c r="O330" s="45"/>
      <c r="P330" s="130"/>
      <c r="Q330" s="45"/>
      <c r="R330" s="136"/>
      <c r="S330" s="139"/>
      <c r="T330" s="136"/>
      <c r="U330" s="139"/>
      <c r="V330" s="45"/>
      <c r="W330" s="136"/>
      <c r="X330" s="134"/>
      <c r="Y330" s="166"/>
      <c r="Z330" s="126" t="s">
        <v>12</v>
      </c>
      <c r="AA330" s="130" t="s">
        <v>12</v>
      </c>
      <c r="AB330" s="126"/>
      <c r="AC330" s="130"/>
      <c r="AD330" s="126"/>
      <c r="AE330" s="130"/>
      <c r="AF330" s="126"/>
      <c r="AG330" s="43"/>
      <c r="AH330" s="44"/>
      <c r="AI330" s="45"/>
      <c r="AJ330" s="46"/>
      <c r="AK330" s="41"/>
      <c r="AL330" s="47"/>
      <c r="AM330" s="48"/>
      <c r="AN330" s="111"/>
      <c r="AO330" s="42"/>
      <c r="AP330" s="42"/>
      <c r="AQ330" s="115"/>
      <c r="AR330" s="75">
        <v>1</v>
      </c>
      <c r="AS330" s="40">
        <f t="shared" si="35"/>
        <v>1</v>
      </c>
      <c r="AW330" s="49"/>
      <c r="AX330" s="49"/>
      <c r="AY330" s="49"/>
      <c r="AZ330" s="49"/>
      <c r="BA330" s="49"/>
      <c r="BB330" s="49"/>
      <c r="BC330" s="49"/>
      <c r="BD330" s="49"/>
      <c r="BE330" s="49"/>
    </row>
    <row r="331" spans="1:57" ht="39" hidden="1" x14ac:dyDescent="0.35">
      <c r="A331" s="123" t="s">
        <v>2142</v>
      </c>
      <c r="B331" s="123" t="s">
        <v>2143</v>
      </c>
      <c r="C331" s="124" t="s">
        <v>2210</v>
      </c>
      <c r="D331" s="124" t="s">
        <v>136</v>
      </c>
      <c r="E331" s="124"/>
      <c r="F331" s="124" t="s">
        <v>2215</v>
      </c>
      <c r="G331" s="85">
        <v>2</v>
      </c>
      <c r="H331" s="86"/>
      <c r="I331" s="87">
        <v>1</v>
      </c>
      <c r="J331" s="88" t="s">
        <v>12</v>
      </c>
      <c r="K331" s="89"/>
      <c r="L331" s="90"/>
      <c r="M331" s="165"/>
      <c r="N331" s="134"/>
      <c r="O331" s="45"/>
      <c r="P331" s="130"/>
      <c r="Q331" s="45"/>
      <c r="R331" s="136"/>
      <c r="S331" s="139"/>
      <c r="T331" s="136"/>
      <c r="U331" s="139"/>
      <c r="V331" s="45" t="s">
        <v>12</v>
      </c>
      <c r="W331" s="136"/>
      <c r="X331" s="134"/>
      <c r="Y331" s="166"/>
      <c r="Z331" s="126"/>
      <c r="AA331" s="130"/>
      <c r="AB331" s="126"/>
      <c r="AC331" s="130"/>
      <c r="AD331" s="126"/>
      <c r="AE331" s="130"/>
      <c r="AF331" s="126"/>
      <c r="AG331" s="43"/>
      <c r="AH331" s="44"/>
      <c r="AI331" s="45"/>
      <c r="AJ331" s="46"/>
      <c r="AK331" s="41"/>
      <c r="AL331" s="47"/>
      <c r="AM331" s="48"/>
      <c r="AN331" s="111"/>
      <c r="AO331" s="42"/>
      <c r="AP331" s="42"/>
      <c r="AQ331" s="115"/>
      <c r="AR331" s="75">
        <v>1</v>
      </c>
      <c r="AS331" s="40">
        <f t="shared" si="35"/>
        <v>1</v>
      </c>
      <c r="AW331" s="49"/>
      <c r="AX331" s="49"/>
      <c r="AY331" s="49"/>
      <c r="AZ331" s="49"/>
      <c r="BA331" s="49"/>
      <c r="BB331" s="49"/>
      <c r="BC331" s="49"/>
      <c r="BD331" s="49"/>
      <c r="BE331" s="49"/>
    </row>
    <row r="332" spans="1:57" ht="39" hidden="1" x14ac:dyDescent="0.35">
      <c r="A332" s="123" t="s">
        <v>2142</v>
      </c>
      <c r="B332" s="123" t="s">
        <v>2143</v>
      </c>
      <c r="C332" s="124" t="s">
        <v>140</v>
      </c>
      <c r="D332" s="124" t="s">
        <v>136</v>
      </c>
      <c r="E332" s="124"/>
      <c r="F332" s="124" t="s">
        <v>2220</v>
      </c>
      <c r="G332" s="85">
        <v>1</v>
      </c>
      <c r="H332" s="86">
        <v>1</v>
      </c>
      <c r="I332" s="87">
        <v>1</v>
      </c>
      <c r="J332" s="88"/>
      <c r="K332" s="89" t="s">
        <v>12</v>
      </c>
      <c r="L332" s="90"/>
      <c r="M332" s="165"/>
      <c r="N332" s="134"/>
      <c r="O332" s="45"/>
      <c r="P332" s="130"/>
      <c r="Q332" s="45"/>
      <c r="R332" s="136"/>
      <c r="S332" s="139"/>
      <c r="T332" s="136"/>
      <c r="U332" s="139"/>
      <c r="V332" s="45"/>
      <c r="W332" s="136"/>
      <c r="X332" s="134"/>
      <c r="Y332" s="166"/>
      <c r="Z332" s="126"/>
      <c r="AA332" s="130" t="s">
        <v>12</v>
      </c>
      <c r="AB332" s="126"/>
      <c r="AC332" s="130"/>
      <c r="AD332" s="126"/>
      <c r="AE332" s="130"/>
      <c r="AF332" s="126"/>
      <c r="AG332" s="43"/>
      <c r="AH332" s="44"/>
      <c r="AI332" s="45"/>
      <c r="AJ332" s="46"/>
      <c r="AK332" s="41"/>
      <c r="AL332" s="47"/>
      <c r="AM332" s="48"/>
      <c r="AN332" s="111"/>
      <c r="AO332" s="42"/>
      <c r="AP332" s="42"/>
      <c r="AQ332" s="115"/>
      <c r="AR332" s="75">
        <v>1</v>
      </c>
      <c r="AS332" s="40">
        <f t="shared" si="35"/>
        <v>1</v>
      </c>
      <c r="AW332" s="49"/>
      <c r="AX332" s="49"/>
      <c r="AY332" s="49"/>
      <c r="AZ332" s="49"/>
      <c r="BA332" s="49"/>
      <c r="BB332" s="49"/>
      <c r="BC332" s="49"/>
      <c r="BD332" s="49"/>
      <c r="BE332" s="49"/>
    </row>
    <row r="333" spans="1:57" ht="39" hidden="1" x14ac:dyDescent="0.35">
      <c r="A333" s="123" t="s">
        <v>2142</v>
      </c>
      <c r="B333" s="123" t="s">
        <v>2143</v>
      </c>
      <c r="C333" s="124" t="s">
        <v>2208</v>
      </c>
      <c r="D333" s="124" t="s">
        <v>136</v>
      </c>
      <c r="E333" s="124"/>
      <c r="F333" s="124" t="s">
        <v>2412</v>
      </c>
      <c r="G333" s="85">
        <v>2</v>
      </c>
      <c r="H333" s="86">
        <v>1</v>
      </c>
      <c r="I333" s="87"/>
      <c r="J333" s="88"/>
      <c r="K333" s="89"/>
      <c r="L333" s="90" t="s">
        <v>12</v>
      </c>
      <c r="M333" s="165"/>
      <c r="N333" s="134"/>
      <c r="O333" s="45"/>
      <c r="P333" s="130"/>
      <c r="Q333" s="45"/>
      <c r="R333" s="136"/>
      <c r="S333" s="139"/>
      <c r="T333" s="136"/>
      <c r="U333" s="139" t="s">
        <v>12</v>
      </c>
      <c r="V333" s="45"/>
      <c r="W333" s="136"/>
      <c r="X333" s="134"/>
      <c r="Y333" s="166"/>
      <c r="Z333" s="126"/>
      <c r="AA333" s="130"/>
      <c r="AB333" s="126"/>
      <c r="AC333" s="130"/>
      <c r="AD333" s="126"/>
      <c r="AE333" s="130"/>
      <c r="AF333" s="126"/>
      <c r="AG333" s="43"/>
      <c r="AH333" s="44"/>
      <c r="AI333" s="45"/>
      <c r="AJ333" s="46"/>
      <c r="AK333" s="41"/>
      <c r="AL333" s="47"/>
      <c r="AM333" s="48"/>
      <c r="AN333" s="111"/>
      <c r="AO333" s="42"/>
      <c r="AP333" s="42"/>
      <c r="AQ333" s="115"/>
      <c r="AR333" s="75">
        <v>1</v>
      </c>
      <c r="AS333" s="40">
        <f t="shared" si="35"/>
        <v>1</v>
      </c>
      <c r="AW333" s="49"/>
      <c r="AX333" s="49"/>
      <c r="AY333" s="49"/>
      <c r="AZ333" s="49"/>
      <c r="BA333" s="49"/>
      <c r="BB333" s="49"/>
      <c r="BC333" s="49"/>
      <c r="BD333" s="49"/>
      <c r="BE333" s="49"/>
    </row>
    <row r="334" spans="1:57" ht="26" hidden="1" x14ac:dyDescent="0.35">
      <c r="A334" s="123" t="s">
        <v>2142</v>
      </c>
      <c r="B334" s="123" t="s">
        <v>2143</v>
      </c>
      <c r="C334" s="124" t="s">
        <v>2209</v>
      </c>
      <c r="D334" s="124" t="s">
        <v>136</v>
      </c>
      <c r="E334" s="124"/>
      <c r="F334" s="124" t="s">
        <v>2413</v>
      </c>
      <c r="G334" s="85">
        <v>1</v>
      </c>
      <c r="H334" s="86"/>
      <c r="I334" s="87">
        <v>2</v>
      </c>
      <c r="J334" s="88"/>
      <c r="K334" s="89"/>
      <c r="L334" s="90" t="s">
        <v>12</v>
      </c>
      <c r="M334" s="165"/>
      <c r="N334" s="134"/>
      <c r="O334" s="45"/>
      <c r="P334" s="130"/>
      <c r="Q334" s="45"/>
      <c r="R334" s="136"/>
      <c r="S334" s="139"/>
      <c r="T334" s="136"/>
      <c r="U334" s="139"/>
      <c r="V334" s="45"/>
      <c r="W334" s="136"/>
      <c r="X334" s="134"/>
      <c r="Y334" s="166"/>
      <c r="Z334" s="126" t="s">
        <v>12</v>
      </c>
      <c r="AA334" s="130"/>
      <c r="AB334" s="126"/>
      <c r="AC334" s="130"/>
      <c r="AD334" s="126"/>
      <c r="AE334" s="130"/>
      <c r="AF334" s="126"/>
      <c r="AG334" s="43"/>
      <c r="AH334" s="44"/>
      <c r="AI334" s="45"/>
      <c r="AJ334" s="46"/>
      <c r="AK334" s="41"/>
      <c r="AL334" s="47"/>
      <c r="AM334" s="48"/>
      <c r="AN334" s="111"/>
      <c r="AO334" s="42"/>
      <c r="AP334" s="42"/>
      <c r="AQ334" s="115"/>
      <c r="AR334" s="75">
        <v>1</v>
      </c>
      <c r="AS334" s="40">
        <f t="shared" si="35"/>
        <v>1</v>
      </c>
      <c r="AW334" s="49"/>
      <c r="AX334" s="49"/>
      <c r="AY334" s="49"/>
      <c r="AZ334" s="49"/>
      <c r="BA334" s="49"/>
      <c r="BB334" s="49"/>
      <c r="BC334" s="49"/>
      <c r="BD334" s="49"/>
      <c r="BE334" s="49"/>
    </row>
    <row r="335" spans="1:57" ht="26" hidden="1" x14ac:dyDescent="0.35">
      <c r="A335" s="123" t="s">
        <v>2142</v>
      </c>
      <c r="B335" s="123" t="s">
        <v>2143</v>
      </c>
      <c r="C335" s="124" t="s">
        <v>678</v>
      </c>
      <c r="D335" s="124" t="s">
        <v>136</v>
      </c>
      <c r="E335" s="124"/>
      <c r="F335" s="124" t="s">
        <v>2224</v>
      </c>
      <c r="G335" s="85">
        <v>1</v>
      </c>
      <c r="H335" s="86">
        <v>1</v>
      </c>
      <c r="I335" s="87">
        <v>1</v>
      </c>
      <c r="J335" s="88"/>
      <c r="K335" s="89" t="s">
        <v>12</v>
      </c>
      <c r="L335" s="90"/>
      <c r="M335" s="165"/>
      <c r="N335" s="134"/>
      <c r="O335" s="45"/>
      <c r="P335" s="130"/>
      <c r="Q335" s="45"/>
      <c r="R335" s="136"/>
      <c r="S335" s="139"/>
      <c r="T335" s="136"/>
      <c r="U335" s="139" t="s">
        <v>12</v>
      </c>
      <c r="V335" s="45"/>
      <c r="W335" s="136"/>
      <c r="X335" s="134"/>
      <c r="Y335" s="166"/>
      <c r="Z335" s="126"/>
      <c r="AA335" s="130"/>
      <c r="AB335" s="126"/>
      <c r="AC335" s="130"/>
      <c r="AD335" s="126"/>
      <c r="AE335" s="130"/>
      <c r="AF335" s="126"/>
      <c r="AG335" s="43"/>
      <c r="AH335" s="44"/>
      <c r="AI335" s="45"/>
      <c r="AJ335" s="46"/>
      <c r="AK335" s="41"/>
      <c r="AL335" s="47"/>
      <c r="AM335" s="48"/>
      <c r="AN335" s="111"/>
      <c r="AO335" s="42"/>
      <c r="AP335" s="42"/>
      <c r="AQ335" s="115"/>
      <c r="AR335" s="75">
        <v>1</v>
      </c>
      <c r="AS335" s="40">
        <f t="shared" si="35"/>
        <v>1</v>
      </c>
      <c r="AW335" s="49"/>
      <c r="AX335" s="49"/>
      <c r="AY335" s="49"/>
      <c r="AZ335" s="49"/>
      <c r="BA335" s="49"/>
      <c r="BB335" s="49"/>
      <c r="BC335" s="49"/>
      <c r="BD335" s="49"/>
      <c r="BE335" s="49"/>
    </row>
    <row r="336" spans="1:57" ht="26" hidden="1" x14ac:dyDescent="0.35">
      <c r="A336" s="123" t="s">
        <v>2142</v>
      </c>
      <c r="B336" s="123" t="s">
        <v>2143</v>
      </c>
      <c r="C336" s="124" t="s">
        <v>2211</v>
      </c>
      <c r="D336" s="124" t="s">
        <v>136</v>
      </c>
      <c r="E336" s="124"/>
      <c r="F336" s="124" t="s">
        <v>2216</v>
      </c>
      <c r="G336" s="85">
        <v>1</v>
      </c>
      <c r="H336" s="86">
        <v>2</v>
      </c>
      <c r="I336" s="87"/>
      <c r="J336" s="88"/>
      <c r="K336" s="89" t="s">
        <v>12</v>
      </c>
      <c r="L336" s="90" t="s">
        <v>12</v>
      </c>
      <c r="M336" s="165"/>
      <c r="N336" s="134"/>
      <c r="O336" s="45"/>
      <c r="P336" s="130"/>
      <c r="Q336" s="45"/>
      <c r="R336" s="136"/>
      <c r="S336" s="139"/>
      <c r="T336" s="136"/>
      <c r="U336" s="139"/>
      <c r="V336" s="45"/>
      <c r="W336" s="136"/>
      <c r="X336" s="134"/>
      <c r="Y336" s="166" t="s">
        <v>12</v>
      </c>
      <c r="Z336" s="126"/>
      <c r="AA336" s="130" t="s">
        <v>12</v>
      </c>
      <c r="AB336" s="126"/>
      <c r="AC336" s="130"/>
      <c r="AD336" s="126"/>
      <c r="AE336" s="130"/>
      <c r="AF336" s="126" t="s">
        <v>12</v>
      </c>
      <c r="AG336" s="43"/>
      <c r="AH336" s="44"/>
      <c r="AI336" s="45"/>
      <c r="AJ336" s="46"/>
      <c r="AK336" s="41"/>
      <c r="AL336" s="47"/>
      <c r="AM336" s="48"/>
      <c r="AN336" s="111"/>
      <c r="AO336" s="42"/>
      <c r="AP336" s="42"/>
      <c r="AQ336" s="115"/>
      <c r="AR336" s="75">
        <v>1</v>
      </c>
      <c r="AS336" s="40">
        <f t="shared" si="35"/>
        <v>1</v>
      </c>
      <c r="AW336" s="49"/>
      <c r="AX336" s="49"/>
      <c r="AY336" s="49"/>
      <c r="AZ336" s="49"/>
      <c r="BA336" s="49"/>
      <c r="BB336" s="49"/>
      <c r="BC336" s="49"/>
      <c r="BD336" s="49"/>
      <c r="BE336" s="49"/>
    </row>
    <row r="337" spans="1:57" ht="39" hidden="1" x14ac:dyDescent="0.35">
      <c r="A337" s="123" t="s">
        <v>2142</v>
      </c>
      <c r="B337" s="123" t="s">
        <v>2143</v>
      </c>
      <c r="C337" s="124" t="s">
        <v>2212</v>
      </c>
      <c r="D337" s="124" t="s">
        <v>136</v>
      </c>
      <c r="E337" s="124"/>
      <c r="F337" s="124" t="s">
        <v>2217</v>
      </c>
      <c r="G337" s="85">
        <v>1</v>
      </c>
      <c r="H337" s="86"/>
      <c r="I337" s="87">
        <v>2</v>
      </c>
      <c r="J337" s="88"/>
      <c r="K337" s="89" t="s">
        <v>12</v>
      </c>
      <c r="L337" s="90"/>
      <c r="M337" s="165"/>
      <c r="N337" s="134"/>
      <c r="O337" s="45"/>
      <c r="P337" s="130" t="s">
        <v>12</v>
      </c>
      <c r="Q337" s="45"/>
      <c r="R337" s="136"/>
      <c r="S337" s="139"/>
      <c r="T337" s="136"/>
      <c r="U337" s="139"/>
      <c r="V337" s="45"/>
      <c r="W337" s="136"/>
      <c r="X337" s="134"/>
      <c r="Y337" s="166"/>
      <c r="Z337" s="126"/>
      <c r="AA337" s="130"/>
      <c r="AB337" s="126"/>
      <c r="AC337" s="130"/>
      <c r="AD337" s="126"/>
      <c r="AE337" s="130"/>
      <c r="AF337" s="126"/>
      <c r="AG337" s="43"/>
      <c r="AH337" s="44"/>
      <c r="AI337" s="45"/>
      <c r="AJ337" s="46"/>
      <c r="AK337" s="41"/>
      <c r="AL337" s="47"/>
      <c r="AM337" s="48"/>
      <c r="AN337" s="111"/>
      <c r="AO337" s="42"/>
      <c r="AP337" s="42"/>
      <c r="AQ337" s="115"/>
      <c r="AR337" s="75">
        <v>1</v>
      </c>
      <c r="AS337" s="40">
        <f t="shared" si="35"/>
        <v>1</v>
      </c>
      <c r="AW337" s="49"/>
      <c r="AX337" s="49"/>
      <c r="AY337" s="49"/>
      <c r="AZ337" s="49"/>
      <c r="BA337" s="49"/>
      <c r="BB337" s="49"/>
      <c r="BC337" s="49"/>
      <c r="BD337" s="49"/>
      <c r="BE337" s="49"/>
    </row>
    <row r="338" spans="1:57" ht="26" hidden="1" x14ac:dyDescent="0.35">
      <c r="A338" s="123" t="s">
        <v>2142</v>
      </c>
      <c r="B338" s="123" t="s">
        <v>2143</v>
      </c>
      <c r="C338" s="124" t="s">
        <v>2213</v>
      </c>
      <c r="D338" s="124" t="s">
        <v>136</v>
      </c>
      <c r="E338" s="124"/>
      <c r="F338" s="124" t="s">
        <v>2218</v>
      </c>
      <c r="G338" s="85"/>
      <c r="H338" s="86">
        <v>1</v>
      </c>
      <c r="I338" s="87">
        <v>2</v>
      </c>
      <c r="J338" s="88" t="s">
        <v>12</v>
      </c>
      <c r="K338" s="89"/>
      <c r="L338" s="90" t="s">
        <v>12</v>
      </c>
      <c r="M338" s="165"/>
      <c r="N338" s="134"/>
      <c r="O338" s="45"/>
      <c r="P338" s="130" t="s">
        <v>12</v>
      </c>
      <c r="Q338" s="45"/>
      <c r="R338" s="136"/>
      <c r="S338" s="139"/>
      <c r="T338" s="136"/>
      <c r="U338" s="139"/>
      <c r="V338" s="45"/>
      <c r="W338" s="136"/>
      <c r="X338" s="134"/>
      <c r="Y338" s="166" t="s">
        <v>12</v>
      </c>
      <c r="Z338" s="126" t="s">
        <v>12</v>
      </c>
      <c r="AA338" s="130"/>
      <c r="AB338" s="126"/>
      <c r="AC338" s="130"/>
      <c r="AD338" s="126"/>
      <c r="AE338" s="130"/>
      <c r="AF338" s="126"/>
      <c r="AG338" s="43"/>
      <c r="AH338" s="44"/>
      <c r="AI338" s="45"/>
      <c r="AJ338" s="46"/>
      <c r="AK338" s="41"/>
      <c r="AL338" s="47"/>
      <c r="AM338" s="48"/>
      <c r="AN338" s="111"/>
      <c r="AO338" s="42"/>
      <c r="AP338" s="42"/>
      <c r="AQ338" s="115"/>
      <c r="AR338" s="75">
        <v>1</v>
      </c>
      <c r="AS338" s="40">
        <f t="shared" si="35"/>
        <v>1</v>
      </c>
      <c r="AW338" s="49"/>
      <c r="AX338" s="49"/>
      <c r="AY338" s="49"/>
      <c r="AZ338" s="49"/>
      <c r="BA338" s="49"/>
      <c r="BB338" s="49"/>
      <c r="BC338" s="49"/>
      <c r="BD338" s="49"/>
      <c r="BE338" s="49"/>
    </row>
    <row r="339" spans="1:57" ht="39" hidden="1" x14ac:dyDescent="0.35">
      <c r="A339" s="123" t="s">
        <v>2142</v>
      </c>
      <c r="B339" s="123" t="s">
        <v>2143</v>
      </c>
      <c r="C339" s="124" t="s">
        <v>2214</v>
      </c>
      <c r="D339" s="124" t="s">
        <v>136</v>
      </c>
      <c r="E339" s="124"/>
      <c r="F339" s="124" t="s">
        <v>2414</v>
      </c>
      <c r="G339" s="85">
        <v>1</v>
      </c>
      <c r="H339" s="86">
        <v>1</v>
      </c>
      <c r="I339" s="87">
        <v>1</v>
      </c>
      <c r="J339" s="88"/>
      <c r="K339" s="89" t="s">
        <v>12</v>
      </c>
      <c r="L339" s="90"/>
      <c r="M339" s="165"/>
      <c r="N339" s="134"/>
      <c r="O339" s="45"/>
      <c r="P339" s="130"/>
      <c r="Q339" s="45"/>
      <c r="R339" s="136"/>
      <c r="S339" s="139"/>
      <c r="T339" s="136"/>
      <c r="U339" s="139" t="s">
        <v>12</v>
      </c>
      <c r="V339" s="45"/>
      <c r="W339" s="136"/>
      <c r="X339" s="134"/>
      <c r="Y339" s="166"/>
      <c r="Z339" s="126"/>
      <c r="AA339" s="130"/>
      <c r="AB339" s="126"/>
      <c r="AC339" s="130"/>
      <c r="AD339" s="126"/>
      <c r="AE339" s="130"/>
      <c r="AF339" s="126"/>
      <c r="AG339" s="43"/>
      <c r="AH339" s="44"/>
      <c r="AI339" s="45"/>
      <c r="AJ339" s="46"/>
      <c r="AK339" s="41"/>
      <c r="AL339" s="47"/>
      <c r="AM339" s="48"/>
      <c r="AN339" s="111"/>
      <c r="AO339" s="42"/>
      <c r="AP339" s="42"/>
      <c r="AQ339" s="115"/>
      <c r="AR339" s="75">
        <v>1</v>
      </c>
      <c r="AS339" s="40">
        <f t="shared" si="35"/>
        <v>1</v>
      </c>
      <c r="AW339" s="49"/>
      <c r="AX339" s="49"/>
      <c r="AY339" s="49"/>
      <c r="AZ339" s="49"/>
      <c r="BA339" s="49"/>
      <c r="BB339" s="49"/>
      <c r="BC339" s="49"/>
      <c r="BD339" s="49"/>
      <c r="BE339" s="49"/>
    </row>
    <row r="340" spans="1:57" ht="26" hidden="1" x14ac:dyDescent="0.35">
      <c r="A340" s="123" t="s">
        <v>2142</v>
      </c>
      <c r="B340" s="123" t="s">
        <v>2143</v>
      </c>
      <c r="C340" s="124" t="s">
        <v>135</v>
      </c>
      <c r="D340" s="124" t="s">
        <v>136</v>
      </c>
      <c r="E340" s="124"/>
      <c r="F340" s="124" t="s">
        <v>2411</v>
      </c>
      <c r="G340" s="85">
        <v>2</v>
      </c>
      <c r="H340" s="86"/>
      <c r="I340" s="87">
        <v>1</v>
      </c>
      <c r="J340" s="88"/>
      <c r="K340" s="89" t="s">
        <v>12</v>
      </c>
      <c r="L340" s="90"/>
      <c r="M340" s="165"/>
      <c r="N340" s="134"/>
      <c r="O340" s="45"/>
      <c r="P340" s="130"/>
      <c r="Q340" s="45"/>
      <c r="R340" s="136"/>
      <c r="S340" s="139"/>
      <c r="T340" s="136"/>
      <c r="U340" s="139"/>
      <c r="V340" s="45" t="s">
        <v>12</v>
      </c>
      <c r="W340" s="136"/>
      <c r="X340" s="134"/>
      <c r="Y340" s="166"/>
      <c r="Z340" s="126" t="s">
        <v>12</v>
      </c>
      <c r="AA340" s="130"/>
      <c r="AB340" s="126"/>
      <c r="AC340" s="130"/>
      <c r="AD340" s="126"/>
      <c r="AE340" s="130"/>
      <c r="AF340" s="126"/>
      <c r="AG340" s="43"/>
      <c r="AH340" s="44"/>
      <c r="AI340" s="45"/>
      <c r="AJ340" s="46"/>
      <c r="AK340" s="41"/>
      <c r="AL340" s="47"/>
      <c r="AM340" s="48"/>
      <c r="AN340" s="111"/>
      <c r="AO340" s="42"/>
      <c r="AP340" s="42"/>
      <c r="AQ340" s="115"/>
      <c r="AR340" s="75">
        <v>1</v>
      </c>
      <c r="AS340" s="40">
        <f t="shared" si="35"/>
        <v>1</v>
      </c>
      <c r="AW340" s="49"/>
      <c r="AX340" s="49"/>
      <c r="AY340" s="49"/>
      <c r="AZ340" s="49"/>
      <c r="BA340" s="49"/>
      <c r="BB340" s="49"/>
      <c r="BC340" s="49"/>
      <c r="BD340" s="49"/>
      <c r="BE340" s="49"/>
    </row>
    <row r="341" spans="1:57" ht="39" hidden="1" x14ac:dyDescent="0.35">
      <c r="A341" s="123" t="s">
        <v>2142</v>
      </c>
      <c r="B341" s="123" t="s">
        <v>2143</v>
      </c>
      <c r="C341" s="124" t="s">
        <v>2436</v>
      </c>
      <c r="D341" s="124" t="s">
        <v>5</v>
      </c>
      <c r="E341" s="124">
        <v>600</v>
      </c>
      <c r="F341" s="124" t="s">
        <v>2437</v>
      </c>
      <c r="G341" s="85"/>
      <c r="H341" s="86"/>
      <c r="I341" s="87"/>
      <c r="J341" s="88"/>
      <c r="K341" s="89"/>
      <c r="L341" s="90"/>
      <c r="M341" s="165"/>
      <c r="N341" s="134"/>
      <c r="O341" s="45"/>
      <c r="P341" s="130"/>
      <c r="Q341" s="45"/>
      <c r="R341" s="136"/>
      <c r="S341" s="139"/>
      <c r="T341" s="136"/>
      <c r="U341" s="139"/>
      <c r="V341" s="45"/>
      <c r="W341" s="136"/>
      <c r="X341" s="134"/>
      <c r="Y341" s="166"/>
      <c r="Z341" s="126"/>
      <c r="AA341" s="130"/>
      <c r="AB341" s="126"/>
      <c r="AC341" s="130"/>
      <c r="AD341" s="126"/>
      <c r="AE341" s="130"/>
      <c r="AF341" s="126"/>
      <c r="AG341" s="43"/>
      <c r="AH341" s="44"/>
      <c r="AI341" s="45"/>
      <c r="AJ341" s="46"/>
      <c r="AK341" s="41"/>
      <c r="AL341" s="47"/>
      <c r="AM341" s="48"/>
      <c r="AN341" s="111">
        <v>1</v>
      </c>
      <c r="AO341" s="42"/>
      <c r="AP341" s="42"/>
      <c r="AQ341" s="115"/>
      <c r="AR341" s="75"/>
      <c r="AS341" s="40">
        <f t="shared" si="35"/>
        <v>1</v>
      </c>
      <c r="AW341" s="49"/>
      <c r="AX341" s="49"/>
      <c r="AY341" s="49"/>
      <c r="AZ341" s="49"/>
      <c r="BA341" s="49"/>
      <c r="BB341" s="49"/>
      <c r="BC341" s="49"/>
      <c r="BD341" s="49"/>
      <c r="BE341" s="49"/>
    </row>
    <row r="342" spans="1:57" ht="26" hidden="1" x14ac:dyDescent="0.35">
      <c r="A342" s="123" t="s">
        <v>2142</v>
      </c>
      <c r="B342" s="123" t="s">
        <v>2143</v>
      </c>
      <c r="C342" s="124" t="s">
        <v>2417</v>
      </c>
      <c r="D342" s="124" t="s">
        <v>5</v>
      </c>
      <c r="E342" s="124">
        <v>600</v>
      </c>
      <c r="F342" s="124" t="s">
        <v>2416</v>
      </c>
      <c r="G342" s="85"/>
      <c r="H342" s="86"/>
      <c r="I342" s="87"/>
      <c r="J342" s="88"/>
      <c r="K342" s="89"/>
      <c r="L342" s="90"/>
      <c r="M342" s="165"/>
      <c r="N342" s="134"/>
      <c r="O342" s="45"/>
      <c r="P342" s="130"/>
      <c r="Q342" s="45"/>
      <c r="R342" s="136"/>
      <c r="S342" s="139"/>
      <c r="T342" s="136"/>
      <c r="U342" s="139"/>
      <c r="V342" s="45"/>
      <c r="W342" s="136"/>
      <c r="X342" s="134"/>
      <c r="Y342" s="166"/>
      <c r="Z342" s="126"/>
      <c r="AA342" s="130"/>
      <c r="AB342" s="126"/>
      <c r="AC342" s="130"/>
      <c r="AD342" s="126"/>
      <c r="AE342" s="130"/>
      <c r="AF342" s="126"/>
      <c r="AG342" s="43"/>
      <c r="AH342" s="44"/>
      <c r="AI342" s="45"/>
      <c r="AJ342" s="46"/>
      <c r="AK342" s="41">
        <v>1</v>
      </c>
      <c r="AL342" s="47"/>
      <c r="AM342" s="48"/>
      <c r="AN342" s="111"/>
      <c r="AO342" s="42"/>
      <c r="AP342" s="42"/>
      <c r="AQ342" s="115"/>
      <c r="AR342" s="75"/>
      <c r="AS342" s="40">
        <f t="shared" si="35"/>
        <v>1</v>
      </c>
      <c r="AW342" s="49"/>
      <c r="AX342" s="49"/>
      <c r="AY342" s="49"/>
      <c r="AZ342" s="49"/>
      <c r="BA342" s="49"/>
      <c r="BB342" s="49"/>
      <c r="BC342" s="49"/>
      <c r="BD342" s="49"/>
      <c r="BE342" s="49"/>
    </row>
    <row r="343" spans="1:57" ht="52" hidden="1" x14ac:dyDescent="0.35">
      <c r="A343" s="123" t="s">
        <v>2142</v>
      </c>
      <c r="B343" s="123" t="s">
        <v>2143</v>
      </c>
      <c r="C343" s="124" t="s">
        <v>2179</v>
      </c>
      <c r="D343" s="124" t="s">
        <v>5</v>
      </c>
      <c r="E343" s="124">
        <v>1000</v>
      </c>
      <c r="F343" s="124" t="s">
        <v>2415</v>
      </c>
      <c r="G343" s="85"/>
      <c r="H343" s="86"/>
      <c r="I343" s="87"/>
      <c r="J343" s="88"/>
      <c r="K343" s="89"/>
      <c r="L343" s="90"/>
      <c r="M343" s="165"/>
      <c r="N343" s="134"/>
      <c r="O343" s="45"/>
      <c r="P343" s="130"/>
      <c r="Q343" s="45"/>
      <c r="R343" s="136"/>
      <c r="S343" s="139"/>
      <c r="T343" s="136"/>
      <c r="U343" s="139"/>
      <c r="V343" s="45"/>
      <c r="W343" s="136"/>
      <c r="X343" s="134"/>
      <c r="Y343" s="166"/>
      <c r="Z343" s="126"/>
      <c r="AA343" s="130"/>
      <c r="AB343" s="126"/>
      <c r="AC343" s="130"/>
      <c r="AD343" s="126"/>
      <c r="AE343" s="130"/>
      <c r="AF343" s="126"/>
      <c r="AG343" s="43"/>
      <c r="AH343" s="44"/>
      <c r="AI343" s="45"/>
      <c r="AJ343" s="46"/>
      <c r="AK343" s="41"/>
      <c r="AL343" s="47">
        <v>1</v>
      </c>
      <c r="AM343" s="48"/>
      <c r="AN343" s="111">
        <v>1</v>
      </c>
      <c r="AO343" s="42"/>
      <c r="AP343" s="42"/>
      <c r="AQ343" s="115"/>
      <c r="AR343" s="75"/>
      <c r="AS343" s="40">
        <f t="shared" si="35"/>
        <v>2</v>
      </c>
      <c r="AW343" s="49"/>
      <c r="AX343" s="49"/>
      <c r="AY343" s="49"/>
      <c r="AZ343" s="49"/>
      <c r="BA343" s="49"/>
      <c r="BB343" s="49"/>
      <c r="BC343" s="49"/>
      <c r="BD343" s="49"/>
      <c r="BE343" s="49"/>
    </row>
    <row r="344" spans="1:57" ht="39" hidden="1" x14ac:dyDescent="0.35">
      <c r="A344" s="123" t="s">
        <v>2142</v>
      </c>
      <c r="B344" s="123" t="s">
        <v>2143</v>
      </c>
      <c r="C344" s="124" t="s">
        <v>2190</v>
      </c>
      <c r="D344" s="124" t="s">
        <v>5</v>
      </c>
      <c r="E344" s="124">
        <v>800</v>
      </c>
      <c r="F344" s="124" t="s">
        <v>2191</v>
      </c>
      <c r="G344" s="85"/>
      <c r="H344" s="86"/>
      <c r="I344" s="87"/>
      <c r="J344" s="88"/>
      <c r="K344" s="89"/>
      <c r="L344" s="90"/>
      <c r="M344" s="165"/>
      <c r="N344" s="134"/>
      <c r="O344" s="45"/>
      <c r="P344" s="130"/>
      <c r="Q344" s="45"/>
      <c r="R344" s="136"/>
      <c r="S344" s="139"/>
      <c r="T344" s="136"/>
      <c r="U344" s="139"/>
      <c r="V344" s="45"/>
      <c r="W344" s="136"/>
      <c r="X344" s="134"/>
      <c r="Y344" s="166"/>
      <c r="Z344" s="126"/>
      <c r="AA344" s="130"/>
      <c r="AB344" s="126"/>
      <c r="AC344" s="130"/>
      <c r="AD344" s="126"/>
      <c r="AE344" s="130"/>
      <c r="AF344" s="126"/>
      <c r="AG344" s="43">
        <v>1</v>
      </c>
      <c r="AH344" s="44"/>
      <c r="AI344" s="45"/>
      <c r="AJ344" s="46"/>
      <c r="AK344" s="41"/>
      <c r="AL344" s="47"/>
      <c r="AM344" s="48">
        <v>1</v>
      </c>
      <c r="AN344" s="111"/>
      <c r="AO344" s="42"/>
      <c r="AP344" s="42"/>
      <c r="AQ344" s="115"/>
      <c r="AR344" s="75"/>
      <c r="AS344" s="40">
        <f t="shared" si="35"/>
        <v>2</v>
      </c>
      <c r="AW344" s="49"/>
      <c r="AX344" s="49"/>
      <c r="AY344" s="49"/>
      <c r="AZ344" s="49"/>
      <c r="BA344" s="49"/>
      <c r="BB344" s="49"/>
      <c r="BC344" s="49"/>
      <c r="BD344" s="49"/>
      <c r="BE344" s="49"/>
    </row>
    <row r="345" spans="1:57" ht="26" hidden="1" x14ac:dyDescent="0.35">
      <c r="A345" s="123" t="s">
        <v>2142</v>
      </c>
      <c r="B345" s="123" t="s">
        <v>2143</v>
      </c>
      <c r="C345" s="124" t="s">
        <v>2180</v>
      </c>
      <c r="D345" s="124" t="s">
        <v>5</v>
      </c>
      <c r="E345" s="124">
        <v>600</v>
      </c>
      <c r="F345" s="124" t="s">
        <v>2182</v>
      </c>
      <c r="G345" s="85"/>
      <c r="H345" s="86"/>
      <c r="I345" s="87"/>
      <c r="J345" s="88"/>
      <c r="K345" s="89"/>
      <c r="L345" s="90"/>
      <c r="M345" s="165"/>
      <c r="N345" s="134"/>
      <c r="O345" s="45"/>
      <c r="P345" s="130"/>
      <c r="Q345" s="45"/>
      <c r="R345" s="136"/>
      <c r="S345" s="139"/>
      <c r="T345" s="136"/>
      <c r="U345" s="139"/>
      <c r="V345" s="45"/>
      <c r="W345" s="136"/>
      <c r="X345" s="134"/>
      <c r="Y345" s="166"/>
      <c r="Z345" s="126"/>
      <c r="AA345" s="130"/>
      <c r="AB345" s="126"/>
      <c r="AC345" s="130"/>
      <c r="AD345" s="126"/>
      <c r="AE345" s="130"/>
      <c r="AF345" s="126"/>
      <c r="AG345" s="43">
        <v>1</v>
      </c>
      <c r="AH345" s="44">
        <v>1</v>
      </c>
      <c r="AI345" s="45"/>
      <c r="AJ345" s="46">
        <v>1</v>
      </c>
      <c r="AK345" s="41"/>
      <c r="AL345" s="47"/>
      <c r="AM345" s="48"/>
      <c r="AN345" s="111">
        <v>1</v>
      </c>
      <c r="AO345" s="42"/>
      <c r="AP345" s="42"/>
      <c r="AQ345" s="115"/>
      <c r="AR345" s="75"/>
      <c r="AS345" s="40">
        <f t="shared" si="35"/>
        <v>4</v>
      </c>
      <c r="AW345" s="49"/>
      <c r="AX345" s="49"/>
      <c r="AY345" s="49"/>
      <c r="AZ345" s="49"/>
      <c r="BA345" s="49"/>
      <c r="BB345" s="49"/>
      <c r="BC345" s="49"/>
      <c r="BD345" s="49"/>
      <c r="BE345" s="49"/>
    </row>
    <row r="346" spans="1:57" ht="39" hidden="1" x14ac:dyDescent="0.35">
      <c r="A346" s="123" t="s">
        <v>2142</v>
      </c>
      <c r="B346" s="123" t="s">
        <v>2143</v>
      </c>
      <c r="C346" s="124" t="s">
        <v>2181</v>
      </c>
      <c r="D346" s="124" t="s">
        <v>5</v>
      </c>
      <c r="E346" s="124">
        <v>1000</v>
      </c>
      <c r="F346" s="124" t="s">
        <v>2183</v>
      </c>
      <c r="G346" s="85"/>
      <c r="H346" s="86"/>
      <c r="I346" s="87"/>
      <c r="J346" s="88"/>
      <c r="K346" s="89"/>
      <c r="L346" s="90"/>
      <c r="M346" s="165"/>
      <c r="N346" s="134"/>
      <c r="O346" s="45"/>
      <c r="P346" s="130"/>
      <c r="Q346" s="45"/>
      <c r="R346" s="136"/>
      <c r="S346" s="139"/>
      <c r="T346" s="136"/>
      <c r="U346" s="139"/>
      <c r="V346" s="45"/>
      <c r="W346" s="136"/>
      <c r="X346" s="134"/>
      <c r="Y346" s="166"/>
      <c r="Z346" s="126"/>
      <c r="AA346" s="130"/>
      <c r="AB346" s="126"/>
      <c r="AC346" s="130"/>
      <c r="AD346" s="126"/>
      <c r="AE346" s="130"/>
      <c r="AF346" s="126"/>
      <c r="AG346" s="43"/>
      <c r="AH346" s="44"/>
      <c r="AI346" s="45"/>
      <c r="AJ346" s="46"/>
      <c r="AK346" s="41"/>
      <c r="AL346" s="47"/>
      <c r="AM346" s="48"/>
      <c r="AN346" s="111">
        <v>1</v>
      </c>
      <c r="AO346" s="42"/>
      <c r="AP346" s="42"/>
      <c r="AQ346" s="115"/>
      <c r="AR346" s="75"/>
      <c r="AS346" s="40">
        <f t="shared" si="35"/>
        <v>1</v>
      </c>
      <c r="AW346" s="49"/>
      <c r="AX346" s="49"/>
      <c r="AY346" s="49"/>
      <c r="AZ346" s="49"/>
      <c r="BA346" s="49"/>
      <c r="BB346" s="49"/>
      <c r="BC346" s="49"/>
      <c r="BD346" s="49"/>
      <c r="BE346" s="49"/>
    </row>
    <row r="347" spans="1:57" hidden="1" x14ac:dyDescent="0.35">
      <c r="A347" s="123" t="s">
        <v>2142</v>
      </c>
      <c r="B347" s="123" t="s">
        <v>2143</v>
      </c>
      <c r="C347" s="124" t="s">
        <v>2438</v>
      </c>
      <c r="D347" s="124" t="s">
        <v>5</v>
      </c>
      <c r="E347" s="124">
        <v>600</v>
      </c>
      <c r="F347" s="196" t="s">
        <v>2439</v>
      </c>
      <c r="G347" s="85"/>
      <c r="H347" s="86"/>
      <c r="I347" s="87"/>
      <c r="J347" s="88"/>
      <c r="K347" s="89"/>
      <c r="L347" s="90"/>
      <c r="M347" s="165"/>
      <c r="N347" s="134"/>
      <c r="O347" s="45"/>
      <c r="P347" s="130"/>
      <c r="Q347" s="45"/>
      <c r="R347" s="136"/>
      <c r="S347" s="139"/>
      <c r="T347" s="136"/>
      <c r="U347" s="139"/>
      <c r="V347" s="45"/>
      <c r="W347" s="136"/>
      <c r="X347" s="134"/>
      <c r="Y347" s="166"/>
      <c r="Z347" s="126"/>
      <c r="AA347" s="130"/>
      <c r="AB347" s="126"/>
      <c r="AC347" s="130"/>
      <c r="AD347" s="126"/>
      <c r="AE347" s="130"/>
      <c r="AF347" s="126"/>
      <c r="AG347" s="43"/>
      <c r="AH347" s="44"/>
      <c r="AI347" s="45"/>
      <c r="AJ347" s="46"/>
      <c r="AK347" s="41"/>
      <c r="AL347" s="47"/>
      <c r="AM347" s="48"/>
      <c r="AN347" s="111">
        <v>1</v>
      </c>
      <c r="AO347" s="42"/>
      <c r="AP347" s="42"/>
      <c r="AQ347" s="115"/>
      <c r="AR347" s="75"/>
      <c r="AS347" s="40">
        <f t="shared" si="35"/>
        <v>1</v>
      </c>
      <c r="AW347" s="49"/>
      <c r="AX347" s="49"/>
      <c r="AY347" s="49"/>
      <c r="AZ347" s="49"/>
      <c r="BA347" s="49"/>
      <c r="BB347" s="49"/>
      <c r="BC347" s="49"/>
      <c r="BD347" s="49"/>
      <c r="BE347" s="49"/>
    </row>
    <row r="348" spans="1:57" ht="26" hidden="1" x14ac:dyDescent="0.35">
      <c r="A348" s="123" t="s">
        <v>2142</v>
      </c>
      <c r="B348" s="123" t="s">
        <v>2325</v>
      </c>
      <c r="C348" s="124" t="s">
        <v>2291</v>
      </c>
      <c r="D348" s="124" t="s">
        <v>8</v>
      </c>
      <c r="E348" s="124">
        <v>200</v>
      </c>
      <c r="F348" s="124" t="s">
        <v>2294</v>
      </c>
      <c r="G348" s="85">
        <v>1</v>
      </c>
      <c r="H348" s="86">
        <v>1</v>
      </c>
      <c r="I348" s="87"/>
      <c r="J348" s="88" t="s">
        <v>12</v>
      </c>
      <c r="K348" s="89"/>
      <c r="L348" s="90"/>
      <c r="M348" s="165"/>
      <c r="N348" s="134"/>
      <c r="O348" s="45"/>
      <c r="P348" s="130"/>
      <c r="Q348" s="45"/>
      <c r="R348" s="136"/>
      <c r="S348" s="139"/>
      <c r="T348" s="136"/>
      <c r="U348" s="139"/>
      <c r="V348" s="45"/>
      <c r="W348" s="136"/>
      <c r="X348" s="134"/>
      <c r="Y348" s="166"/>
      <c r="Z348" s="126"/>
      <c r="AA348" s="130"/>
      <c r="AB348" s="126"/>
      <c r="AC348" s="130"/>
      <c r="AD348" s="126"/>
      <c r="AE348" s="130"/>
      <c r="AF348" s="126"/>
      <c r="AG348" s="43"/>
      <c r="AH348" s="44"/>
      <c r="AI348" s="45"/>
      <c r="AJ348" s="46"/>
      <c r="AK348" s="41"/>
      <c r="AL348" s="47">
        <v>1</v>
      </c>
      <c r="AM348" s="48"/>
      <c r="AN348" s="111"/>
      <c r="AO348" s="42"/>
      <c r="AP348" s="42"/>
      <c r="AQ348" s="115"/>
      <c r="AR348" s="75"/>
      <c r="AS348" s="40">
        <f t="shared" si="35"/>
        <v>1</v>
      </c>
      <c r="AW348" s="49">
        <f t="shared" ref="AW348:AW361" si="36">SUM(E348-(AX348*100))</f>
        <v>100</v>
      </c>
      <c r="AX348" s="49">
        <f t="shared" ref="AX348:AX361" si="37">SUM(AY348:BE348)</f>
        <v>1</v>
      </c>
      <c r="AY348" s="49">
        <f t="shared" ref="AY348:AY361" si="38">SUM(G348:I348)</f>
        <v>2</v>
      </c>
      <c r="AZ348" s="49">
        <f t="shared" ref="AZ348:AZ361" si="39">SUM(0-COUNTA(J348:L348))</f>
        <v>-1</v>
      </c>
      <c r="BA348" s="49">
        <f>COUNTA(#REF!)</f>
        <v>1</v>
      </c>
      <c r="BB348" s="49">
        <f t="shared" ref="BB348:BB361" si="40">COUNTA(Z348:AF348)</f>
        <v>0</v>
      </c>
      <c r="BC348" s="49"/>
      <c r="BD348" s="49"/>
      <c r="BE348" s="49">
        <v>-1</v>
      </c>
    </row>
    <row r="349" spans="1:57" ht="26" hidden="1" x14ac:dyDescent="0.35">
      <c r="A349" s="123" t="s">
        <v>2142</v>
      </c>
      <c r="B349" s="123" t="s">
        <v>2325</v>
      </c>
      <c r="C349" s="124" t="s">
        <v>2292</v>
      </c>
      <c r="D349" s="124" t="s">
        <v>8</v>
      </c>
      <c r="E349" s="124">
        <v>0</v>
      </c>
      <c r="F349" s="124" t="s">
        <v>2295</v>
      </c>
      <c r="G349" s="85"/>
      <c r="H349" s="86">
        <v>1</v>
      </c>
      <c r="I349" s="87"/>
      <c r="J349" s="88" t="s">
        <v>12</v>
      </c>
      <c r="K349" s="89"/>
      <c r="L349" s="90" t="s">
        <v>12</v>
      </c>
      <c r="M349" s="165"/>
      <c r="N349" s="134"/>
      <c r="O349" s="45"/>
      <c r="P349" s="130"/>
      <c r="Q349" s="45"/>
      <c r="R349" s="136"/>
      <c r="S349" s="139"/>
      <c r="T349" s="136"/>
      <c r="U349" s="139" t="s">
        <v>12</v>
      </c>
      <c r="V349" s="45"/>
      <c r="W349" s="136"/>
      <c r="X349" s="134"/>
      <c r="Y349" s="166"/>
      <c r="Z349" s="126"/>
      <c r="AA349" s="130"/>
      <c r="AB349" s="126"/>
      <c r="AC349" s="130"/>
      <c r="AD349" s="126"/>
      <c r="AE349" s="130"/>
      <c r="AF349" s="126"/>
      <c r="AG349" s="43"/>
      <c r="AH349" s="44"/>
      <c r="AI349" s="45"/>
      <c r="AJ349" s="46"/>
      <c r="AK349" s="41"/>
      <c r="AL349" s="47">
        <v>1</v>
      </c>
      <c r="AM349" s="48"/>
      <c r="AN349" s="111"/>
      <c r="AO349" s="42"/>
      <c r="AP349" s="42"/>
      <c r="AQ349" s="115"/>
      <c r="AR349" s="75"/>
      <c r="AS349" s="40">
        <f t="shared" si="35"/>
        <v>1</v>
      </c>
      <c r="AW349" s="49">
        <f t="shared" si="36"/>
        <v>100</v>
      </c>
      <c r="AX349" s="49">
        <f t="shared" si="37"/>
        <v>-1</v>
      </c>
      <c r="AY349" s="49">
        <f t="shared" si="38"/>
        <v>1</v>
      </c>
      <c r="AZ349" s="49">
        <f t="shared" si="39"/>
        <v>-2</v>
      </c>
      <c r="BA349" s="49">
        <f>COUNTA(#REF!)</f>
        <v>1</v>
      </c>
      <c r="BB349" s="49">
        <f t="shared" si="40"/>
        <v>0</v>
      </c>
      <c r="BC349" s="49"/>
      <c r="BD349" s="49"/>
      <c r="BE349" s="49">
        <v>-1</v>
      </c>
    </row>
    <row r="350" spans="1:57" ht="39" hidden="1" x14ac:dyDescent="0.35">
      <c r="A350" s="123" t="s">
        <v>2142</v>
      </c>
      <c r="B350" s="123" t="s">
        <v>2325</v>
      </c>
      <c r="C350" s="124" t="s">
        <v>2313</v>
      </c>
      <c r="D350" s="124" t="s">
        <v>8</v>
      </c>
      <c r="E350" s="124">
        <v>200</v>
      </c>
      <c r="F350" s="124" t="s">
        <v>2316</v>
      </c>
      <c r="G350" s="85">
        <v>1</v>
      </c>
      <c r="H350" s="86">
        <v>1</v>
      </c>
      <c r="I350" s="87"/>
      <c r="J350" s="88"/>
      <c r="K350" s="89"/>
      <c r="L350" s="90" t="s">
        <v>12</v>
      </c>
      <c r="M350" s="165"/>
      <c r="N350" s="134"/>
      <c r="O350" s="45"/>
      <c r="P350" s="130"/>
      <c r="Q350" s="45"/>
      <c r="R350" s="136"/>
      <c r="S350" s="139"/>
      <c r="T350" s="136"/>
      <c r="U350" s="139"/>
      <c r="V350" s="45" t="s">
        <v>12</v>
      </c>
      <c r="W350" s="136"/>
      <c r="X350" s="134"/>
      <c r="Y350" s="166"/>
      <c r="Z350" s="126"/>
      <c r="AA350" s="130"/>
      <c r="AB350" s="126"/>
      <c r="AC350" s="130"/>
      <c r="AD350" s="126"/>
      <c r="AE350" s="130"/>
      <c r="AF350" s="126"/>
      <c r="AG350" s="43"/>
      <c r="AH350" s="44">
        <v>1</v>
      </c>
      <c r="AI350" s="45"/>
      <c r="AJ350" s="46"/>
      <c r="AK350" s="41"/>
      <c r="AL350" s="47"/>
      <c r="AM350" s="48"/>
      <c r="AN350" s="111"/>
      <c r="AO350" s="42"/>
      <c r="AP350" s="42"/>
      <c r="AQ350" s="115"/>
      <c r="AR350" s="75"/>
      <c r="AS350" s="40">
        <f t="shared" si="35"/>
        <v>1</v>
      </c>
      <c r="AW350" s="49">
        <f t="shared" si="36"/>
        <v>100</v>
      </c>
      <c r="AX350" s="49">
        <f t="shared" si="37"/>
        <v>1</v>
      </c>
      <c r="AY350" s="49">
        <f t="shared" si="38"/>
        <v>2</v>
      </c>
      <c r="AZ350" s="49">
        <f t="shared" si="39"/>
        <v>-1</v>
      </c>
      <c r="BA350" s="49">
        <f>COUNTA(#REF!)</f>
        <v>1</v>
      </c>
      <c r="BB350" s="49">
        <f t="shared" si="40"/>
        <v>0</v>
      </c>
      <c r="BC350" s="49"/>
      <c r="BD350" s="49"/>
      <c r="BE350" s="49">
        <v>-1</v>
      </c>
    </row>
    <row r="351" spans="1:57" ht="26" hidden="1" x14ac:dyDescent="0.35">
      <c r="A351" s="123" t="s">
        <v>2142</v>
      </c>
      <c r="B351" s="123" t="s">
        <v>2325</v>
      </c>
      <c r="C351" s="124" t="s">
        <v>2285</v>
      </c>
      <c r="D351" s="124" t="s">
        <v>8</v>
      </c>
      <c r="E351" s="124">
        <v>200</v>
      </c>
      <c r="F351" s="124" t="s">
        <v>2286</v>
      </c>
      <c r="G351" s="85">
        <v>2</v>
      </c>
      <c r="H351" s="86"/>
      <c r="I351" s="87"/>
      <c r="J351" s="88" t="s">
        <v>12</v>
      </c>
      <c r="K351" s="89"/>
      <c r="L351" s="90" t="s">
        <v>12</v>
      </c>
      <c r="M351" s="165"/>
      <c r="N351" s="134"/>
      <c r="O351" s="45"/>
      <c r="P351" s="130"/>
      <c r="Q351" s="45"/>
      <c r="R351" s="136"/>
      <c r="S351" s="139"/>
      <c r="T351" s="136"/>
      <c r="U351" s="139"/>
      <c r="V351" s="45"/>
      <c r="W351" s="136"/>
      <c r="X351" s="134"/>
      <c r="Y351" s="166"/>
      <c r="Z351" s="126"/>
      <c r="AA351" s="130"/>
      <c r="AB351" s="126"/>
      <c r="AC351" s="130"/>
      <c r="AD351" s="126"/>
      <c r="AE351" s="130"/>
      <c r="AF351" s="126"/>
      <c r="AG351" s="43"/>
      <c r="AH351" s="44"/>
      <c r="AI351" s="45"/>
      <c r="AJ351" s="46"/>
      <c r="AK351" s="41"/>
      <c r="AL351" s="47"/>
      <c r="AM351" s="48">
        <v>1</v>
      </c>
      <c r="AN351" s="111"/>
      <c r="AO351" s="42"/>
      <c r="AP351" s="42"/>
      <c r="AQ351" s="115"/>
      <c r="AR351" s="75"/>
      <c r="AS351" s="40">
        <f t="shared" si="35"/>
        <v>1</v>
      </c>
      <c r="AW351" s="49">
        <f t="shared" si="36"/>
        <v>200</v>
      </c>
      <c r="AX351" s="49">
        <f t="shared" si="37"/>
        <v>0</v>
      </c>
      <c r="AY351" s="49">
        <f t="shared" si="38"/>
        <v>2</v>
      </c>
      <c r="AZ351" s="49">
        <f t="shared" si="39"/>
        <v>-2</v>
      </c>
      <c r="BA351" s="49">
        <f>COUNTA(#REF!)</f>
        <v>1</v>
      </c>
      <c r="BB351" s="49">
        <f t="shared" si="40"/>
        <v>0</v>
      </c>
      <c r="BC351" s="49"/>
      <c r="BD351" s="49"/>
      <c r="BE351" s="49">
        <v>-1</v>
      </c>
    </row>
    <row r="352" spans="1:57" ht="26" hidden="1" x14ac:dyDescent="0.35">
      <c r="A352" s="123" t="s">
        <v>2142</v>
      </c>
      <c r="B352" s="123" t="s">
        <v>2325</v>
      </c>
      <c r="C352" s="124" t="s">
        <v>2293</v>
      </c>
      <c r="D352" s="124" t="s">
        <v>8</v>
      </c>
      <c r="E352" s="124">
        <v>0</v>
      </c>
      <c r="F352" s="124" t="s">
        <v>2296</v>
      </c>
      <c r="G352" s="85">
        <v>1</v>
      </c>
      <c r="H352" s="86"/>
      <c r="I352" s="87">
        <v>1</v>
      </c>
      <c r="J352" s="88" t="s">
        <v>12</v>
      </c>
      <c r="K352" s="89"/>
      <c r="L352" s="90"/>
      <c r="M352" s="165"/>
      <c r="N352" s="134"/>
      <c r="O352" s="45"/>
      <c r="P352" s="130"/>
      <c r="Q352" s="45"/>
      <c r="R352" s="136"/>
      <c r="S352" s="139"/>
      <c r="T352" s="136"/>
      <c r="U352" s="139"/>
      <c r="V352" s="45"/>
      <c r="W352" s="136"/>
      <c r="X352" s="134"/>
      <c r="Y352" s="166"/>
      <c r="Z352" s="126"/>
      <c r="AA352" s="130"/>
      <c r="AB352" s="126"/>
      <c r="AC352" s="130"/>
      <c r="AD352" s="126"/>
      <c r="AE352" s="130"/>
      <c r="AF352" s="126"/>
      <c r="AG352" s="43"/>
      <c r="AH352" s="44"/>
      <c r="AI352" s="45"/>
      <c r="AJ352" s="46"/>
      <c r="AK352" s="41"/>
      <c r="AL352" s="47">
        <v>1</v>
      </c>
      <c r="AM352" s="48"/>
      <c r="AN352" s="111"/>
      <c r="AO352" s="42"/>
      <c r="AP352" s="42"/>
      <c r="AQ352" s="115"/>
      <c r="AR352" s="75"/>
      <c r="AS352" s="40">
        <f t="shared" si="35"/>
        <v>1</v>
      </c>
      <c r="AW352" s="49">
        <f t="shared" si="36"/>
        <v>-100</v>
      </c>
      <c r="AX352" s="49">
        <f t="shared" si="37"/>
        <v>1</v>
      </c>
      <c r="AY352" s="49">
        <f t="shared" si="38"/>
        <v>2</v>
      </c>
      <c r="AZ352" s="49">
        <f t="shared" si="39"/>
        <v>-1</v>
      </c>
      <c r="BA352" s="49">
        <f>COUNTA(#REF!)</f>
        <v>1</v>
      </c>
      <c r="BB352" s="49">
        <f t="shared" si="40"/>
        <v>0</v>
      </c>
      <c r="BC352" s="49"/>
      <c r="BD352" s="49"/>
      <c r="BE352" s="49">
        <v>-1</v>
      </c>
    </row>
    <row r="353" spans="1:57" ht="26" hidden="1" x14ac:dyDescent="0.35">
      <c r="A353" s="123" t="s">
        <v>2142</v>
      </c>
      <c r="B353" s="123" t="s">
        <v>2325</v>
      </c>
      <c r="C353" s="124" t="s">
        <v>2287</v>
      </c>
      <c r="D353" s="124" t="s">
        <v>8</v>
      </c>
      <c r="E353" s="124">
        <v>300</v>
      </c>
      <c r="F353" s="124" t="s">
        <v>2288</v>
      </c>
      <c r="G353" s="85">
        <v>1</v>
      </c>
      <c r="H353" s="86">
        <v>1</v>
      </c>
      <c r="I353" s="87">
        <v>1</v>
      </c>
      <c r="J353" s="88" t="s">
        <v>12</v>
      </c>
      <c r="K353" s="89"/>
      <c r="L353" s="90" t="s">
        <v>12</v>
      </c>
      <c r="M353" s="165"/>
      <c r="N353" s="134"/>
      <c r="O353" s="45"/>
      <c r="P353" s="130"/>
      <c r="Q353" s="45"/>
      <c r="R353" s="136"/>
      <c r="S353" s="139"/>
      <c r="T353" s="136"/>
      <c r="U353" s="139" t="s">
        <v>12</v>
      </c>
      <c r="V353" s="45"/>
      <c r="W353" s="136"/>
      <c r="X353" s="134"/>
      <c r="Y353" s="166"/>
      <c r="Z353" s="126"/>
      <c r="AA353" s="130"/>
      <c r="AB353" s="126"/>
      <c r="AC353" s="130"/>
      <c r="AD353" s="126"/>
      <c r="AE353" s="130"/>
      <c r="AF353" s="126"/>
      <c r="AG353" s="43"/>
      <c r="AH353" s="44"/>
      <c r="AI353" s="45"/>
      <c r="AJ353" s="46"/>
      <c r="AK353" s="41"/>
      <c r="AL353" s="47"/>
      <c r="AM353" s="48">
        <v>1</v>
      </c>
      <c r="AN353" s="111"/>
      <c r="AO353" s="42"/>
      <c r="AP353" s="42"/>
      <c r="AQ353" s="115"/>
      <c r="AR353" s="75"/>
      <c r="AS353" s="40">
        <f t="shared" si="35"/>
        <v>1</v>
      </c>
      <c r="AW353" s="49">
        <f t="shared" si="36"/>
        <v>200</v>
      </c>
      <c r="AX353" s="49">
        <f t="shared" si="37"/>
        <v>1</v>
      </c>
      <c r="AY353" s="49">
        <f t="shared" si="38"/>
        <v>3</v>
      </c>
      <c r="AZ353" s="49">
        <f t="shared" si="39"/>
        <v>-2</v>
      </c>
      <c r="BA353" s="49">
        <f>COUNTA(#REF!)</f>
        <v>1</v>
      </c>
      <c r="BB353" s="49">
        <f t="shared" si="40"/>
        <v>0</v>
      </c>
      <c r="BC353" s="49"/>
      <c r="BD353" s="49"/>
      <c r="BE353" s="49">
        <v>-1</v>
      </c>
    </row>
    <row r="354" spans="1:57" ht="19" hidden="1" x14ac:dyDescent="0.35">
      <c r="A354" s="123" t="s">
        <v>2142</v>
      </c>
      <c r="B354" s="123" t="s">
        <v>2325</v>
      </c>
      <c r="C354" s="124" t="s">
        <v>2314</v>
      </c>
      <c r="D354" s="124" t="s">
        <v>8</v>
      </c>
      <c r="E354" s="124">
        <v>200</v>
      </c>
      <c r="F354" s="124" t="s">
        <v>2488</v>
      </c>
      <c r="G354" s="85">
        <v>1</v>
      </c>
      <c r="H354" s="86">
        <v>1</v>
      </c>
      <c r="I354" s="87"/>
      <c r="J354" s="167" t="s">
        <v>2317</v>
      </c>
      <c r="K354" s="89"/>
      <c r="L354" s="90"/>
      <c r="M354" s="165"/>
      <c r="N354" s="134"/>
      <c r="O354" s="45"/>
      <c r="P354" s="130"/>
      <c r="Q354" s="45"/>
      <c r="R354" s="136"/>
      <c r="S354" s="139"/>
      <c r="T354" s="136"/>
      <c r="U354" s="139"/>
      <c r="V354" s="45"/>
      <c r="W354" s="136"/>
      <c r="X354" s="134" t="s">
        <v>12</v>
      </c>
      <c r="Y354" s="166"/>
      <c r="Z354" s="126"/>
      <c r="AA354" s="130"/>
      <c r="AB354" s="126" t="s">
        <v>12</v>
      </c>
      <c r="AC354" s="130"/>
      <c r="AD354" s="126"/>
      <c r="AE354" s="130"/>
      <c r="AF354" s="126"/>
      <c r="AG354" s="43"/>
      <c r="AH354" s="44">
        <v>1</v>
      </c>
      <c r="AI354" s="45"/>
      <c r="AJ354" s="46"/>
      <c r="AK354" s="41"/>
      <c r="AL354" s="47"/>
      <c r="AM354" s="48"/>
      <c r="AN354" s="111"/>
      <c r="AO354" s="42"/>
      <c r="AP354" s="42"/>
      <c r="AQ354" s="115"/>
      <c r="AR354" s="75"/>
      <c r="AS354" s="40">
        <f t="shared" si="35"/>
        <v>1</v>
      </c>
      <c r="AW354" s="49">
        <f t="shared" si="36"/>
        <v>0</v>
      </c>
      <c r="AX354" s="49">
        <f t="shared" si="37"/>
        <v>2</v>
      </c>
      <c r="AY354" s="49">
        <f t="shared" si="38"/>
        <v>2</v>
      </c>
      <c r="AZ354" s="49">
        <f t="shared" si="39"/>
        <v>-1</v>
      </c>
      <c r="BA354" s="49">
        <f>COUNTA(#REF!)</f>
        <v>1</v>
      </c>
      <c r="BB354" s="49">
        <f t="shared" si="40"/>
        <v>1</v>
      </c>
      <c r="BC354" s="49"/>
      <c r="BD354" s="49"/>
      <c r="BE354" s="49">
        <v>-1</v>
      </c>
    </row>
    <row r="355" spans="1:57" ht="26" hidden="1" x14ac:dyDescent="0.35">
      <c r="A355" s="123" t="s">
        <v>2142</v>
      </c>
      <c r="B355" s="123" t="s">
        <v>2325</v>
      </c>
      <c r="C355" s="124" t="s">
        <v>2310</v>
      </c>
      <c r="D355" s="124" t="s">
        <v>8</v>
      </c>
      <c r="E355" s="124">
        <v>300</v>
      </c>
      <c r="F355" s="124" t="s">
        <v>2489</v>
      </c>
      <c r="G355" s="85"/>
      <c r="H355" s="86">
        <v>2</v>
      </c>
      <c r="I355" s="87"/>
      <c r="J355" s="88" t="s">
        <v>12</v>
      </c>
      <c r="K355" s="89"/>
      <c r="L355" s="90"/>
      <c r="M355" s="165"/>
      <c r="N355" s="134"/>
      <c r="O355" s="45"/>
      <c r="P355" s="130"/>
      <c r="Q355" s="45"/>
      <c r="R355" s="136"/>
      <c r="S355" s="139"/>
      <c r="T355" s="136"/>
      <c r="U355" s="139" t="s">
        <v>12</v>
      </c>
      <c r="V355" s="45"/>
      <c r="W355" s="136"/>
      <c r="X355" s="134" t="s">
        <v>12</v>
      </c>
      <c r="Y355" s="166"/>
      <c r="Z355" s="126"/>
      <c r="AA355" s="130"/>
      <c r="AB355" s="126"/>
      <c r="AC355" s="130"/>
      <c r="AD355" s="126"/>
      <c r="AE355" s="130"/>
      <c r="AF355" s="126"/>
      <c r="AG355" s="43">
        <v>1</v>
      </c>
      <c r="AH355" s="44"/>
      <c r="AI355" s="45"/>
      <c r="AJ355" s="46"/>
      <c r="AK355" s="41"/>
      <c r="AL355" s="47"/>
      <c r="AM355" s="48"/>
      <c r="AN355" s="111"/>
      <c r="AO355" s="42"/>
      <c r="AP355" s="42"/>
      <c r="AQ355" s="115"/>
      <c r="AR355" s="75"/>
      <c r="AS355" s="40">
        <f t="shared" si="35"/>
        <v>1</v>
      </c>
      <c r="AW355" s="49">
        <f t="shared" si="36"/>
        <v>200</v>
      </c>
      <c r="AX355" s="49">
        <f t="shared" si="37"/>
        <v>1</v>
      </c>
      <c r="AY355" s="49">
        <f t="shared" si="38"/>
        <v>2</v>
      </c>
      <c r="AZ355" s="49">
        <f t="shared" si="39"/>
        <v>-1</v>
      </c>
      <c r="BA355" s="49">
        <f>COUNTA(#REF!)</f>
        <v>1</v>
      </c>
      <c r="BB355" s="49">
        <f t="shared" si="40"/>
        <v>0</v>
      </c>
      <c r="BC355" s="49"/>
      <c r="BD355" s="49"/>
      <c r="BE355" s="49">
        <v>-1</v>
      </c>
    </row>
    <row r="356" spans="1:57" ht="26" x14ac:dyDescent="0.35">
      <c r="A356" s="123" t="s">
        <v>2142</v>
      </c>
      <c r="B356" s="123" t="s">
        <v>2325</v>
      </c>
      <c r="C356" s="124" t="s">
        <v>2308</v>
      </c>
      <c r="D356" s="124" t="s">
        <v>8</v>
      </c>
      <c r="E356" s="124">
        <v>300</v>
      </c>
      <c r="F356" s="124" t="s">
        <v>2311</v>
      </c>
      <c r="G356" s="85"/>
      <c r="H356" s="86"/>
      <c r="I356" s="87">
        <v>2</v>
      </c>
      <c r="J356" s="88"/>
      <c r="K356" s="89"/>
      <c r="L356" s="90" t="s">
        <v>12</v>
      </c>
      <c r="M356" s="165"/>
      <c r="N356" s="134"/>
      <c r="O356" s="45"/>
      <c r="P356" s="130" t="s">
        <v>12</v>
      </c>
      <c r="Q356" s="45"/>
      <c r="R356" s="136"/>
      <c r="S356" s="139"/>
      <c r="T356" s="136"/>
      <c r="U356" s="139"/>
      <c r="V356" s="45"/>
      <c r="W356" s="136"/>
      <c r="X356" s="134"/>
      <c r="Y356" s="166"/>
      <c r="Z356" s="126"/>
      <c r="AA356" s="130" t="s">
        <v>12</v>
      </c>
      <c r="AB356" s="126"/>
      <c r="AC356" s="130"/>
      <c r="AD356" s="126"/>
      <c r="AE356" s="130"/>
      <c r="AF356" s="126"/>
      <c r="AG356" s="43">
        <v>1</v>
      </c>
      <c r="AH356" s="44"/>
      <c r="AI356" s="45"/>
      <c r="AJ356" s="46"/>
      <c r="AK356" s="41"/>
      <c r="AL356" s="47"/>
      <c r="AM356" s="48"/>
      <c r="AN356" s="111"/>
      <c r="AO356" s="42"/>
      <c r="AP356" s="42"/>
      <c r="AQ356" s="115"/>
      <c r="AR356" s="75"/>
      <c r="AS356" s="40">
        <f t="shared" si="35"/>
        <v>1</v>
      </c>
      <c r="AW356" s="49">
        <f t="shared" si="36"/>
        <v>100</v>
      </c>
      <c r="AX356" s="49">
        <f t="shared" si="37"/>
        <v>2</v>
      </c>
      <c r="AY356" s="49">
        <f t="shared" si="38"/>
        <v>2</v>
      </c>
      <c r="AZ356" s="49">
        <f t="shared" si="39"/>
        <v>-1</v>
      </c>
      <c r="BA356" s="49">
        <f>COUNTA(#REF!)</f>
        <v>1</v>
      </c>
      <c r="BB356" s="49">
        <f t="shared" si="40"/>
        <v>1</v>
      </c>
      <c r="BC356" s="49"/>
      <c r="BD356" s="49"/>
      <c r="BE356" s="49">
        <v>-1</v>
      </c>
    </row>
    <row r="357" spans="1:57" ht="26" x14ac:dyDescent="0.35">
      <c r="A357" s="123" t="s">
        <v>2142</v>
      </c>
      <c r="B357" s="123" t="s">
        <v>2325</v>
      </c>
      <c r="C357" s="124" t="s">
        <v>2302</v>
      </c>
      <c r="D357" s="124" t="s">
        <v>8</v>
      </c>
      <c r="E357" s="124">
        <v>200</v>
      </c>
      <c r="F357" s="124" t="s">
        <v>2303</v>
      </c>
      <c r="G357" s="85">
        <v>1</v>
      </c>
      <c r="H357" s="86"/>
      <c r="I357" s="87"/>
      <c r="J357" s="88"/>
      <c r="K357" s="89"/>
      <c r="L357" s="90"/>
      <c r="M357" s="165"/>
      <c r="N357" s="134"/>
      <c r="O357" s="45"/>
      <c r="P357" s="130"/>
      <c r="Q357" s="45"/>
      <c r="R357" s="136"/>
      <c r="S357" s="139"/>
      <c r="T357" s="136" t="s">
        <v>12</v>
      </c>
      <c r="U357" s="139"/>
      <c r="V357" s="45"/>
      <c r="W357" s="136"/>
      <c r="X357" s="134"/>
      <c r="Y357" s="166"/>
      <c r="Z357" s="126"/>
      <c r="AA357" s="130"/>
      <c r="AB357" s="126"/>
      <c r="AC357" s="130"/>
      <c r="AD357" s="126"/>
      <c r="AE357" s="130"/>
      <c r="AF357" s="126"/>
      <c r="AG357" s="43"/>
      <c r="AH357" s="44"/>
      <c r="AI357" s="45">
        <v>1</v>
      </c>
      <c r="AJ357" s="46">
        <v>1</v>
      </c>
      <c r="AK357" s="41"/>
      <c r="AL357" s="47"/>
      <c r="AM357" s="48"/>
      <c r="AN357" s="111"/>
      <c r="AO357" s="42"/>
      <c r="AP357" s="42"/>
      <c r="AQ357" s="115"/>
      <c r="AR357" s="75"/>
      <c r="AS357" s="40">
        <f t="shared" si="35"/>
        <v>2</v>
      </c>
      <c r="AW357" s="49">
        <f t="shared" si="36"/>
        <v>100</v>
      </c>
      <c r="AX357" s="49">
        <f t="shared" si="37"/>
        <v>1</v>
      </c>
      <c r="AY357" s="49">
        <f t="shared" si="38"/>
        <v>1</v>
      </c>
      <c r="AZ357" s="49">
        <f t="shared" si="39"/>
        <v>0</v>
      </c>
      <c r="BA357" s="49">
        <f>COUNTA(#REF!)</f>
        <v>1</v>
      </c>
      <c r="BB357" s="49">
        <f t="shared" si="40"/>
        <v>0</v>
      </c>
      <c r="BC357" s="49"/>
      <c r="BD357" s="49"/>
      <c r="BE357" s="49">
        <v>-1</v>
      </c>
    </row>
    <row r="358" spans="1:57" ht="26" x14ac:dyDescent="0.35">
      <c r="A358" s="123" t="s">
        <v>2142</v>
      </c>
      <c r="B358" s="123" t="s">
        <v>2325</v>
      </c>
      <c r="C358" s="124" t="s">
        <v>2302</v>
      </c>
      <c r="D358" s="124" t="s">
        <v>8</v>
      </c>
      <c r="E358" s="124">
        <v>200</v>
      </c>
      <c r="F358" s="124" t="s">
        <v>2303</v>
      </c>
      <c r="G358" s="85">
        <v>1</v>
      </c>
      <c r="H358" s="86"/>
      <c r="I358" s="87"/>
      <c r="J358" s="88"/>
      <c r="K358" s="89"/>
      <c r="L358" s="90"/>
      <c r="M358" s="165"/>
      <c r="N358" s="134"/>
      <c r="O358" s="45"/>
      <c r="P358" s="130"/>
      <c r="Q358" s="45" t="s">
        <v>12</v>
      </c>
      <c r="R358" s="136"/>
      <c r="S358" s="139"/>
      <c r="T358" s="136"/>
      <c r="U358" s="139"/>
      <c r="V358" s="45"/>
      <c r="W358" s="136"/>
      <c r="X358" s="134"/>
      <c r="Y358" s="166"/>
      <c r="Z358" s="126"/>
      <c r="AA358" s="130"/>
      <c r="AB358" s="126"/>
      <c r="AC358" s="130"/>
      <c r="AD358" s="126"/>
      <c r="AE358" s="130"/>
      <c r="AF358" s="126"/>
      <c r="AG358" s="43"/>
      <c r="AH358" s="44"/>
      <c r="AI358" s="45">
        <v>1</v>
      </c>
      <c r="AJ358" s="46"/>
      <c r="AK358" s="41"/>
      <c r="AL358" s="47"/>
      <c r="AM358" s="48"/>
      <c r="AN358" s="111"/>
      <c r="AO358" s="42"/>
      <c r="AP358" s="42"/>
      <c r="AQ358" s="115"/>
      <c r="AR358" s="75"/>
      <c r="AS358" s="40">
        <f t="shared" si="35"/>
        <v>1</v>
      </c>
      <c r="AW358" s="49">
        <f t="shared" si="36"/>
        <v>100</v>
      </c>
      <c r="AX358" s="49">
        <f t="shared" si="37"/>
        <v>1</v>
      </c>
      <c r="AY358" s="49">
        <f t="shared" si="38"/>
        <v>1</v>
      </c>
      <c r="AZ358" s="49">
        <f t="shared" si="39"/>
        <v>0</v>
      </c>
      <c r="BA358" s="49">
        <f>COUNTA(#REF!)</f>
        <v>1</v>
      </c>
      <c r="BB358" s="49">
        <f t="shared" si="40"/>
        <v>0</v>
      </c>
      <c r="BC358" s="49"/>
      <c r="BD358" s="49"/>
      <c r="BE358" s="49">
        <v>-1</v>
      </c>
    </row>
    <row r="359" spans="1:57" ht="26" hidden="1" x14ac:dyDescent="0.35">
      <c r="A359" s="123" t="s">
        <v>2142</v>
      </c>
      <c r="B359" s="123" t="s">
        <v>2325</v>
      </c>
      <c r="C359" s="124" t="s">
        <v>2315</v>
      </c>
      <c r="D359" s="124" t="s">
        <v>8</v>
      </c>
      <c r="E359" s="124">
        <v>300</v>
      </c>
      <c r="F359" s="124" t="s">
        <v>2440</v>
      </c>
      <c r="G359" s="85">
        <v>1</v>
      </c>
      <c r="H359" s="86">
        <v>1</v>
      </c>
      <c r="I359" s="87">
        <v>1</v>
      </c>
      <c r="J359" s="88"/>
      <c r="K359" s="89"/>
      <c r="L359" s="90" t="s">
        <v>12</v>
      </c>
      <c r="M359" s="165" t="s">
        <v>12</v>
      </c>
      <c r="N359" s="134"/>
      <c r="O359" s="45"/>
      <c r="P359" s="130"/>
      <c r="Q359" s="45"/>
      <c r="R359" s="136"/>
      <c r="S359" s="139"/>
      <c r="T359" s="136"/>
      <c r="U359" s="139"/>
      <c r="V359" s="45"/>
      <c r="W359" s="136"/>
      <c r="X359" s="134"/>
      <c r="Y359" s="166" t="s">
        <v>12</v>
      </c>
      <c r="Z359" s="126"/>
      <c r="AA359" s="130"/>
      <c r="AB359" s="126"/>
      <c r="AC359" s="130"/>
      <c r="AD359" s="126"/>
      <c r="AE359" s="130"/>
      <c r="AF359" s="126"/>
      <c r="AG359" s="43"/>
      <c r="AH359" s="44">
        <v>1</v>
      </c>
      <c r="AI359" s="45"/>
      <c r="AJ359" s="46"/>
      <c r="AK359" s="41"/>
      <c r="AL359" s="47"/>
      <c r="AM359" s="48"/>
      <c r="AN359" s="111"/>
      <c r="AO359" s="42"/>
      <c r="AP359" s="42"/>
      <c r="AQ359" s="115"/>
      <c r="AR359" s="75"/>
      <c r="AS359" s="40">
        <f t="shared" si="35"/>
        <v>1</v>
      </c>
      <c r="AW359" s="49">
        <f t="shared" si="36"/>
        <v>100</v>
      </c>
      <c r="AX359" s="49">
        <f t="shared" si="37"/>
        <v>2</v>
      </c>
      <c r="AY359" s="49">
        <f t="shared" si="38"/>
        <v>3</v>
      </c>
      <c r="AZ359" s="49">
        <f t="shared" si="39"/>
        <v>-1</v>
      </c>
      <c r="BA359" s="49">
        <f>COUNTA(#REF!)</f>
        <v>1</v>
      </c>
      <c r="BB359" s="49">
        <f t="shared" si="40"/>
        <v>0</v>
      </c>
      <c r="BC359" s="49"/>
      <c r="BD359" s="49"/>
      <c r="BE359" s="49">
        <v>-1</v>
      </c>
    </row>
    <row r="360" spans="1:57" ht="26" hidden="1" x14ac:dyDescent="0.35">
      <c r="A360" s="123" t="s">
        <v>2142</v>
      </c>
      <c r="B360" s="123" t="s">
        <v>2325</v>
      </c>
      <c r="C360" s="124" t="s">
        <v>2309</v>
      </c>
      <c r="D360" s="124" t="s">
        <v>8</v>
      </c>
      <c r="E360" s="124">
        <v>200</v>
      </c>
      <c r="F360" s="124" t="s">
        <v>2312</v>
      </c>
      <c r="G360" s="85"/>
      <c r="H360" s="86">
        <v>1</v>
      </c>
      <c r="I360" s="87">
        <v>1</v>
      </c>
      <c r="J360" s="88" t="s">
        <v>12</v>
      </c>
      <c r="K360" s="89"/>
      <c r="L360" s="90" t="s">
        <v>12</v>
      </c>
      <c r="M360" s="165"/>
      <c r="N360" s="134"/>
      <c r="O360" s="45" t="s">
        <v>12</v>
      </c>
      <c r="P360" s="130"/>
      <c r="Q360" s="45"/>
      <c r="R360" s="136"/>
      <c r="S360" s="139"/>
      <c r="T360" s="136"/>
      <c r="U360" s="139" t="s">
        <v>12</v>
      </c>
      <c r="V360" s="45"/>
      <c r="W360" s="136"/>
      <c r="X360" s="134"/>
      <c r="Y360" s="166"/>
      <c r="Z360" s="126"/>
      <c r="AA360" s="130"/>
      <c r="AB360" s="126"/>
      <c r="AC360" s="130"/>
      <c r="AD360" s="126"/>
      <c r="AE360" s="130"/>
      <c r="AF360" s="126"/>
      <c r="AG360" s="43">
        <v>1</v>
      </c>
      <c r="AH360" s="44"/>
      <c r="AI360" s="45"/>
      <c r="AJ360" s="46"/>
      <c r="AK360" s="41"/>
      <c r="AL360" s="47"/>
      <c r="AM360" s="48"/>
      <c r="AN360" s="111"/>
      <c r="AO360" s="42"/>
      <c r="AP360" s="42"/>
      <c r="AQ360" s="115"/>
      <c r="AR360" s="75"/>
      <c r="AS360" s="40">
        <f t="shared" si="35"/>
        <v>1</v>
      </c>
      <c r="AW360" s="49">
        <f t="shared" si="36"/>
        <v>200</v>
      </c>
      <c r="AX360" s="49">
        <f t="shared" si="37"/>
        <v>0</v>
      </c>
      <c r="AY360" s="49">
        <f t="shared" si="38"/>
        <v>2</v>
      </c>
      <c r="AZ360" s="49">
        <f t="shared" si="39"/>
        <v>-2</v>
      </c>
      <c r="BA360" s="49">
        <f>COUNTA(#REF!)</f>
        <v>1</v>
      </c>
      <c r="BB360" s="49">
        <f t="shared" si="40"/>
        <v>0</v>
      </c>
      <c r="BC360" s="49"/>
      <c r="BD360" s="49"/>
      <c r="BE360" s="49">
        <v>-1</v>
      </c>
    </row>
    <row r="361" spans="1:57" ht="19" hidden="1" x14ac:dyDescent="0.35">
      <c r="A361" s="123" t="s">
        <v>2142</v>
      </c>
      <c r="B361" s="123" t="s">
        <v>2325</v>
      </c>
      <c r="C361" s="124" t="s">
        <v>2306</v>
      </c>
      <c r="D361" s="124" t="s">
        <v>8</v>
      </c>
      <c r="E361" s="124">
        <v>300</v>
      </c>
      <c r="F361" s="124" t="s">
        <v>2307</v>
      </c>
      <c r="G361" s="85">
        <v>2</v>
      </c>
      <c r="H361" s="86"/>
      <c r="I361" s="87"/>
      <c r="J361" s="88"/>
      <c r="K361" s="89"/>
      <c r="L361" s="90" t="s">
        <v>12</v>
      </c>
      <c r="M361" s="165"/>
      <c r="N361" s="134"/>
      <c r="O361" s="45" t="s">
        <v>12</v>
      </c>
      <c r="P361" s="130"/>
      <c r="Q361" s="45"/>
      <c r="R361" s="136"/>
      <c r="S361" s="139"/>
      <c r="T361" s="136"/>
      <c r="U361" s="139"/>
      <c r="V361" s="45"/>
      <c r="W361" s="136"/>
      <c r="X361" s="134"/>
      <c r="Y361" s="166"/>
      <c r="Z361" s="126"/>
      <c r="AA361" s="130"/>
      <c r="AB361" s="126"/>
      <c r="AC361" s="130"/>
      <c r="AD361" s="126"/>
      <c r="AE361" s="130"/>
      <c r="AF361" s="126" t="s">
        <v>12</v>
      </c>
      <c r="AG361" s="43"/>
      <c r="AH361" s="44"/>
      <c r="AI361" s="45">
        <v>1</v>
      </c>
      <c r="AJ361" s="46"/>
      <c r="AK361" s="41"/>
      <c r="AL361" s="47"/>
      <c r="AM361" s="48"/>
      <c r="AN361" s="111"/>
      <c r="AO361" s="42"/>
      <c r="AP361" s="42"/>
      <c r="AQ361" s="115"/>
      <c r="AR361" s="75"/>
      <c r="AS361" s="40">
        <f t="shared" si="35"/>
        <v>1</v>
      </c>
      <c r="AW361" s="49">
        <f t="shared" si="36"/>
        <v>100</v>
      </c>
      <c r="AX361" s="49">
        <f t="shared" si="37"/>
        <v>2</v>
      </c>
      <c r="AY361" s="49">
        <f t="shared" si="38"/>
        <v>2</v>
      </c>
      <c r="AZ361" s="49">
        <f t="shared" si="39"/>
        <v>-1</v>
      </c>
      <c r="BA361" s="49">
        <f>COUNTA(#REF!)</f>
        <v>1</v>
      </c>
      <c r="BB361" s="49">
        <f t="shared" si="40"/>
        <v>1</v>
      </c>
      <c r="BC361" s="49"/>
      <c r="BD361" s="49"/>
      <c r="BE361" s="49">
        <v>-1</v>
      </c>
    </row>
    <row r="362" spans="1:57" ht="39" hidden="1" x14ac:dyDescent="0.35">
      <c r="A362" s="123" t="s">
        <v>2142</v>
      </c>
      <c r="B362" s="123" t="s">
        <v>2325</v>
      </c>
      <c r="C362" s="124" t="s">
        <v>2364</v>
      </c>
      <c r="D362" s="124" t="s">
        <v>736</v>
      </c>
      <c r="E362" s="124"/>
      <c r="F362" s="124" t="s">
        <v>2324</v>
      </c>
      <c r="G362" s="85"/>
      <c r="H362" s="86"/>
      <c r="I362" s="87"/>
      <c r="J362" s="88"/>
      <c r="K362" s="89"/>
      <c r="L362" s="90"/>
      <c r="M362" s="165"/>
      <c r="N362" s="134"/>
      <c r="O362" s="45"/>
      <c r="P362" s="130"/>
      <c r="Q362" s="45"/>
      <c r="R362" s="136"/>
      <c r="S362" s="139"/>
      <c r="T362" s="136"/>
      <c r="U362" s="139"/>
      <c r="V362" s="45"/>
      <c r="W362" s="136"/>
      <c r="X362" s="134"/>
      <c r="Y362" s="166"/>
      <c r="Z362" s="126"/>
      <c r="AA362" s="130"/>
      <c r="AB362" s="126"/>
      <c r="AC362" s="130"/>
      <c r="AD362" s="126"/>
      <c r="AE362" s="130"/>
      <c r="AF362" s="126"/>
      <c r="AG362" s="43"/>
      <c r="AH362" s="44"/>
      <c r="AI362" s="45"/>
      <c r="AJ362" s="46"/>
      <c r="AK362" s="41"/>
      <c r="AL362" s="47"/>
      <c r="AM362" s="48"/>
      <c r="AN362" s="111"/>
      <c r="AO362" s="42"/>
      <c r="AP362" s="42"/>
      <c r="AQ362" s="115"/>
      <c r="AR362" s="75">
        <v>1</v>
      </c>
      <c r="AS362" s="40">
        <f t="shared" si="35"/>
        <v>1</v>
      </c>
      <c r="AW362" s="49"/>
      <c r="AX362" s="49"/>
      <c r="AY362" s="49"/>
      <c r="AZ362" s="49"/>
      <c r="BA362" s="49"/>
      <c r="BB362" s="49"/>
      <c r="BC362" s="49"/>
      <c r="BD362" s="49"/>
      <c r="BE362" s="49"/>
    </row>
    <row r="363" spans="1:57" ht="26" hidden="1" x14ac:dyDescent="0.35">
      <c r="A363" s="123" t="s">
        <v>2142</v>
      </c>
      <c r="B363" s="123" t="s">
        <v>2325</v>
      </c>
      <c r="C363" s="124" t="s">
        <v>2289</v>
      </c>
      <c r="D363" s="124" t="s">
        <v>131</v>
      </c>
      <c r="E363" s="124">
        <v>0</v>
      </c>
      <c r="F363" s="124" t="s">
        <v>2290</v>
      </c>
      <c r="G363" s="85"/>
      <c r="H363" s="86"/>
      <c r="I363" s="87"/>
      <c r="J363" s="88"/>
      <c r="K363" s="89"/>
      <c r="L363" s="90"/>
      <c r="M363" s="165"/>
      <c r="N363" s="134"/>
      <c r="O363" s="45"/>
      <c r="P363" s="130"/>
      <c r="Q363" s="45"/>
      <c r="R363" s="136"/>
      <c r="S363" s="139"/>
      <c r="T363" s="136"/>
      <c r="U363" s="139"/>
      <c r="V363" s="45"/>
      <c r="W363" s="136"/>
      <c r="X363" s="134"/>
      <c r="Y363" s="166"/>
      <c r="Z363" s="126"/>
      <c r="AA363" s="130"/>
      <c r="AB363" s="126"/>
      <c r="AC363" s="130"/>
      <c r="AD363" s="126"/>
      <c r="AE363" s="130"/>
      <c r="AF363" s="126"/>
      <c r="AG363" s="43"/>
      <c r="AH363" s="44"/>
      <c r="AI363" s="45"/>
      <c r="AJ363" s="46"/>
      <c r="AK363" s="41"/>
      <c r="AL363" s="47"/>
      <c r="AM363" s="48">
        <v>1</v>
      </c>
      <c r="AN363" s="111"/>
      <c r="AO363" s="42"/>
      <c r="AP363" s="42"/>
      <c r="AQ363" s="115"/>
      <c r="AR363" s="75"/>
      <c r="AS363" s="40">
        <f t="shared" si="35"/>
        <v>1</v>
      </c>
      <c r="AW363" s="49"/>
      <c r="AX363" s="49"/>
      <c r="AY363" s="49"/>
      <c r="AZ363" s="49"/>
      <c r="BA363" s="49"/>
      <c r="BB363" s="49"/>
      <c r="BC363" s="49"/>
      <c r="BD363" s="49"/>
      <c r="BE363" s="49"/>
    </row>
    <row r="364" spans="1:57" ht="26" hidden="1" x14ac:dyDescent="0.35">
      <c r="A364" s="123" t="s">
        <v>2142</v>
      </c>
      <c r="B364" s="123" t="s">
        <v>2325</v>
      </c>
      <c r="C364" s="124" t="s">
        <v>2297</v>
      </c>
      <c r="D364" s="124" t="s">
        <v>131</v>
      </c>
      <c r="E364" s="124">
        <v>300</v>
      </c>
      <c r="F364" s="124" t="s">
        <v>2298</v>
      </c>
      <c r="G364" s="85"/>
      <c r="H364" s="86"/>
      <c r="I364" s="87"/>
      <c r="J364" s="88"/>
      <c r="K364" s="89"/>
      <c r="L364" s="90"/>
      <c r="M364" s="165"/>
      <c r="N364" s="134"/>
      <c r="O364" s="45"/>
      <c r="P364" s="130"/>
      <c r="Q364" s="45"/>
      <c r="R364" s="136"/>
      <c r="S364" s="139"/>
      <c r="T364" s="136"/>
      <c r="U364" s="139"/>
      <c r="V364" s="45"/>
      <c r="W364" s="136"/>
      <c r="X364" s="134"/>
      <c r="Y364" s="166"/>
      <c r="Z364" s="126"/>
      <c r="AA364" s="130"/>
      <c r="AB364" s="126"/>
      <c r="AC364" s="130"/>
      <c r="AD364" s="126"/>
      <c r="AE364" s="130"/>
      <c r="AF364" s="126"/>
      <c r="AG364" s="43"/>
      <c r="AH364" s="44"/>
      <c r="AI364" s="45"/>
      <c r="AJ364" s="46"/>
      <c r="AK364" s="41">
        <v>1</v>
      </c>
      <c r="AL364" s="47"/>
      <c r="AM364" s="48"/>
      <c r="AN364" s="111"/>
      <c r="AO364" s="42"/>
      <c r="AP364" s="42"/>
      <c r="AQ364" s="115"/>
      <c r="AR364" s="75"/>
      <c r="AS364" s="40">
        <f t="shared" si="35"/>
        <v>1</v>
      </c>
      <c r="AW364" s="49"/>
      <c r="AX364" s="49"/>
      <c r="AY364" s="49"/>
      <c r="AZ364" s="49"/>
      <c r="BA364" s="49"/>
      <c r="BB364" s="49"/>
      <c r="BC364" s="49"/>
      <c r="BD364" s="49"/>
      <c r="BE364" s="49"/>
    </row>
    <row r="365" spans="1:57" ht="39" hidden="1" x14ac:dyDescent="0.35">
      <c r="A365" s="123" t="s">
        <v>2142</v>
      </c>
      <c r="B365" s="123" t="s">
        <v>2325</v>
      </c>
      <c r="C365" s="124" t="s">
        <v>2318</v>
      </c>
      <c r="D365" s="124" t="s">
        <v>136</v>
      </c>
      <c r="E365" s="124"/>
      <c r="F365" s="124" t="s">
        <v>2321</v>
      </c>
      <c r="G365" s="85">
        <v>2</v>
      </c>
      <c r="H365" s="86"/>
      <c r="I365" s="87">
        <v>1</v>
      </c>
      <c r="J365" s="88"/>
      <c r="K365" s="89"/>
      <c r="L365" s="90" t="s">
        <v>12</v>
      </c>
      <c r="M365" s="165"/>
      <c r="N365" s="134"/>
      <c r="O365" s="45"/>
      <c r="P365" s="130"/>
      <c r="Q365" s="45"/>
      <c r="R365" s="136"/>
      <c r="S365" s="139"/>
      <c r="T365" s="136"/>
      <c r="U365" s="139"/>
      <c r="V365" s="45" t="s">
        <v>12</v>
      </c>
      <c r="W365" s="136"/>
      <c r="X365" s="134"/>
      <c r="Y365" s="166" t="s">
        <v>12</v>
      </c>
      <c r="Z365" s="126"/>
      <c r="AA365" s="130"/>
      <c r="AB365" s="126"/>
      <c r="AC365" s="130"/>
      <c r="AD365" s="126"/>
      <c r="AE365" s="130"/>
      <c r="AF365" s="126"/>
      <c r="AG365" s="43"/>
      <c r="AH365" s="44"/>
      <c r="AI365" s="45"/>
      <c r="AJ365" s="46"/>
      <c r="AK365" s="41"/>
      <c r="AL365" s="47"/>
      <c r="AM365" s="48"/>
      <c r="AN365" s="111"/>
      <c r="AO365" s="42"/>
      <c r="AP365" s="42"/>
      <c r="AQ365" s="115"/>
      <c r="AR365" s="75">
        <v>1</v>
      </c>
      <c r="AS365" s="40">
        <f t="shared" si="35"/>
        <v>1</v>
      </c>
      <c r="AW365" s="49"/>
      <c r="AX365" s="49"/>
      <c r="AY365" s="49"/>
      <c r="AZ365" s="49"/>
      <c r="BA365" s="49"/>
      <c r="BB365" s="49"/>
      <c r="BC365" s="49"/>
      <c r="BD365" s="49"/>
      <c r="BE365" s="49"/>
    </row>
    <row r="366" spans="1:57" ht="26" hidden="1" x14ac:dyDescent="0.35">
      <c r="A366" s="123" t="s">
        <v>2142</v>
      </c>
      <c r="B366" s="123" t="s">
        <v>2325</v>
      </c>
      <c r="C366" s="124" t="s">
        <v>2319</v>
      </c>
      <c r="D366" s="124" t="s">
        <v>136</v>
      </c>
      <c r="E366" s="124"/>
      <c r="F366" s="124" t="s">
        <v>2322</v>
      </c>
      <c r="G366" s="85">
        <v>2</v>
      </c>
      <c r="H366" s="86">
        <v>1</v>
      </c>
      <c r="I366" s="87"/>
      <c r="J366" s="88"/>
      <c r="K366" s="89"/>
      <c r="L366" s="90" t="s">
        <v>12</v>
      </c>
      <c r="M366" s="165"/>
      <c r="N366" s="134"/>
      <c r="O366" s="45"/>
      <c r="P366" s="130"/>
      <c r="Q366" s="45"/>
      <c r="R366" s="136"/>
      <c r="S366" s="139"/>
      <c r="T366" s="136"/>
      <c r="U366" s="139" t="s">
        <v>12</v>
      </c>
      <c r="V366" s="45"/>
      <c r="W366" s="136"/>
      <c r="X366" s="134"/>
      <c r="Y366" s="166"/>
      <c r="Z366" s="126"/>
      <c r="AA366" s="130"/>
      <c r="AB366" s="126"/>
      <c r="AC366" s="130" t="s">
        <v>12</v>
      </c>
      <c r="AD366" s="126"/>
      <c r="AE366" s="130"/>
      <c r="AF366" s="126"/>
      <c r="AG366" s="43"/>
      <c r="AH366" s="44"/>
      <c r="AI366" s="45"/>
      <c r="AJ366" s="46"/>
      <c r="AK366" s="41"/>
      <c r="AL366" s="47"/>
      <c r="AM366" s="48"/>
      <c r="AN366" s="111"/>
      <c r="AO366" s="42"/>
      <c r="AP366" s="42"/>
      <c r="AQ366" s="115"/>
      <c r="AR366" s="75">
        <v>1</v>
      </c>
      <c r="AS366" s="40">
        <f t="shared" si="35"/>
        <v>1</v>
      </c>
      <c r="AW366" s="49"/>
      <c r="AX366" s="49"/>
      <c r="AY366" s="49"/>
      <c r="AZ366" s="49"/>
      <c r="BA366" s="49"/>
      <c r="BB366" s="49"/>
      <c r="BC366" s="49"/>
      <c r="BD366" s="49"/>
      <c r="BE366" s="49"/>
    </row>
    <row r="367" spans="1:57" ht="26" hidden="1" x14ac:dyDescent="0.35">
      <c r="A367" s="123" t="s">
        <v>2142</v>
      </c>
      <c r="B367" s="123" t="s">
        <v>2325</v>
      </c>
      <c r="C367" s="124" t="s">
        <v>2320</v>
      </c>
      <c r="D367" s="124" t="s">
        <v>136</v>
      </c>
      <c r="E367" s="124"/>
      <c r="F367" s="124" t="s">
        <v>2323</v>
      </c>
      <c r="G367" s="85">
        <v>1</v>
      </c>
      <c r="H367" s="86">
        <v>1</v>
      </c>
      <c r="I367" s="87">
        <v>1</v>
      </c>
      <c r="J367" s="88" t="s">
        <v>12</v>
      </c>
      <c r="K367" s="89"/>
      <c r="L367" s="90" t="s">
        <v>12</v>
      </c>
      <c r="M367" s="165"/>
      <c r="N367" s="134"/>
      <c r="O367" s="45"/>
      <c r="P367" s="130" t="s">
        <v>12</v>
      </c>
      <c r="Q367" s="45"/>
      <c r="R367" s="136" t="s">
        <v>12</v>
      </c>
      <c r="S367" s="139"/>
      <c r="T367" s="136"/>
      <c r="U367" s="139"/>
      <c r="V367" s="45"/>
      <c r="W367" s="136"/>
      <c r="X367" s="134"/>
      <c r="Y367" s="166"/>
      <c r="Z367" s="126" t="s">
        <v>12</v>
      </c>
      <c r="AA367" s="130"/>
      <c r="AB367" s="126"/>
      <c r="AC367" s="130"/>
      <c r="AD367" s="126"/>
      <c r="AE367" s="130"/>
      <c r="AF367" s="126"/>
      <c r="AG367" s="43"/>
      <c r="AH367" s="44"/>
      <c r="AI367" s="45"/>
      <c r="AJ367" s="46"/>
      <c r="AK367" s="41"/>
      <c r="AL367" s="47"/>
      <c r="AM367" s="48"/>
      <c r="AN367" s="111"/>
      <c r="AO367" s="42"/>
      <c r="AP367" s="42"/>
      <c r="AQ367" s="115"/>
      <c r="AR367" s="75">
        <v>1</v>
      </c>
      <c r="AS367" s="40">
        <f t="shared" si="35"/>
        <v>1</v>
      </c>
      <c r="AW367" s="49"/>
      <c r="AX367" s="49"/>
      <c r="AY367" s="49"/>
      <c r="AZ367" s="49"/>
      <c r="BA367" s="49"/>
      <c r="BB367" s="49"/>
      <c r="BC367" s="49"/>
      <c r="BD367" s="49"/>
      <c r="BE367" s="49"/>
    </row>
    <row r="368" spans="1:57" ht="26" hidden="1" x14ac:dyDescent="0.35">
      <c r="A368" s="123" t="s">
        <v>2142</v>
      </c>
      <c r="B368" s="123" t="s">
        <v>2325</v>
      </c>
      <c r="C368" s="124" t="s">
        <v>2299</v>
      </c>
      <c r="D368" s="124" t="s">
        <v>5</v>
      </c>
      <c r="E368" s="124">
        <v>600</v>
      </c>
      <c r="F368" s="124" t="s">
        <v>2300</v>
      </c>
      <c r="G368" s="85"/>
      <c r="H368" s="86"/>
      <c r="I368" s="87"/>
      <c r="J368" s="88"/>
      <c r="K368" s="89"/>
      <c r="L368" s="90"/>
      <c r="M368" s="165" t="s">
        <v>37</v>
      </c>
      <c r="N368" s="134"/>
      <c r="O368" s="45"/>
      <c r="P368" s="130"/>
      <c r="Q368" s="45"/>
      <c r="R368" s="136"/>
      <c r="S368" s="139"/>
      <c r="T368" s="136"/>
      <c r="U368" s="139"/>
      <c r="V368" s="45"/>
      <c r="W368" s="136"/>
      <c r="X368" s="134"/>
      <c r="Y368" s="166"/>
      <c r="Z368" s="126" t="s">
        <v>12</v>
      </c>
      <c r="AA368" s="130"/>
      <c r="AB368" s="126"/>
      <c r="AC368" s="130"/>
      <c r="AD368" s="126"/>
      <c r="AE368" s="130"/>
      <c r="AF368" s="126"/>
      <c r="AG368" s="43"/>
      <c r="AH368" s="44"/>
      <c r="AI368" s="45"/>
      <c r="AJ368" s="46"/>
      <c r="AK368" s="41">
        <v>1</v>
      </c>
      <c r="AL368" s="47"/>
      <c r="AM368" s="48"/>
      <c r="AN368" s="111"/>
      <c r="AO368" s="42"/>
      <c r="AP368" s="42"/>
      <c r="AQ368" s="115"/>
      <c r="AR368" s="75"/>
      <c r="AS368" s="40">
        <f t="shared" si="35"/>
        <v>1</v>
      </c>
      <c r="AW368" s="49"/>
      <c r="AX368" s="49"/>
      <c r="AY368" s="49"/>
      <c r="AZ368" s="49"/>
      <c r="BA368" s="49"/>
      <c r="BB368" s="49"/>
      <c r="BC368" s="49"/>
      <c r="BD368" s="49"/>
      <c r="BE368" s="49"/>
    </row>
    <row r="369" spans="1:57" ht="39" hidden="1" x14ac:dyDescent="0.35">
      <c r="A369" s="123" t="s">
        <v>2142</v>
      </c>
      <c r="B369" s="123" t="s">
        <v>2325</v>
      </c>
      <c r="C369" s="124" t="s">
        <v>2374</v>
      </c>
      <c r="D369" s="124" t="s">
        <v>5</v>
      </c>
      <c r="E369" s="124"/>
      <c r="F369" s="124" t="s">
        <v>2300</v>
      </c>
      <c r="G369" s="85"/>
      <c r="H369" s="86"/>
      <c r="I369" s="87"/>
      <c r="J369" s="88"/>
      <c r="K369" s="89"/>
      <c r="L369" s="90"/>
      <c r="M369" s="165" t="s">
        <v>37</v>
      </c>
      <c r="N369" s="134"/>
      <c r="O369" s="45"/>
      <c r="P369" s="130"/>
      <c r="Q369" s="45"/>
      <c r="R369" s="136"/>
      <c r="S369" s="139"/>
      <c r="T369" s="136"/>
      <c r="U369" s="139"/>
      <c r="V369" s="45"/>
      <c r="W369" s="136"/>
      <c r="X369" s="134"/>
      <c r="Y369" s="166"/>
      <c r="Z369" s="126" t="s">
        <v>12</v>
      </c>
      <c r="AA369" s="130"/>
      <c r="AB369" s="126"/>
      <c r="AC369" s="130"/>
      <c r="AD369" s="126"/>
      <c r="AE369" s="130"/>
      <c r="AF369" s="126"/>
      <c r="AG369" s="43"/>
      <c r="AH369" s="44"/>
      <c r="AI369" s="45"/>
      <c r="AJ369" s="46"/>
      <c r="AK369" s="41"/>
      <c r="AL369" s="47"/>
      <c r="AM369" s="48"/>
      <c r="AN369" s="111"/>
      <c r="AO369" s="42"/>
      <c r="AP369" s="42"/>
      <c r="AQ369" s="115"/>
      <c r="AR369" s="75">
        <v>1</v>
      </c>
      <c r="AS369" s="40">
        <f t="shared" si="35"/>
        <v>1</v>
      </c>
      <c r="AW369" s="49"/>
      <c r="AX369" s="49"/>
      <c r="AY369" s="49"/>
      <c r="AZ369" s="49"/>
      <c r="BA369" s="49"/>
      <c r="BB369" s="49"/>
      <c r="BC369" s="49"/>
      <c r="BD369" s="49"/>
      <c r="BE369" s="49"/>
    </row>
    <row r="370" spans="1:57" ht="39" hidden="1" x14ac:dyDescent="0.35">
      <c r="A370" s="123" t="s">
        <v>2142</v>
      </c>
      <c r="B370" s="123" t="s">
        <v>2325</v>
      </c>
      <c r="C370" s="124" t="s">
        <v>2301</v>
      </c>
      <c r="D370" s="124" t="s">
        <v>5</v>
      </c>
      <c r="E370" s="124">
        <v>1000</v>
      </c>
      <c r="F370" s="124" t="s">
        <v>2434</v>
      </c>
      <c r="G370" s="85"/>
      <c r="H370" s="86"/>
      <c r="I370" s="87"/>
      <c r="J370" s="88"/>
      <c r="K370" s="89"/>
      <c r="L370" s="90"/>
      <c r="M370" s="165"/>
      <c r="N370" s="134"/>
      <c r="O370" s="45"/>
      <c r="P370" s="130"/>
      <c r="Q370" s="45"/>
      <c r="R370" s="136"/>
      <c r="S370" s="139"/>
      <c r="T370" s="136"/>
      <c r="U370" s="139"/>
      <c r="V370" s="45"/>
      <c r="W370" s="136"/>
      <c r="X370" s="134"/>
      <c r="Y370" s="166"/>
      <c r="Z370" s="126"/>
      <c r="AA370" s="130"/>
      <c r="AB370" s="126"/>
      <c r="AC370" s="130" t="s">
        <v>37</v>
      </c>
      <c r="AD370" s="126"/>
      <c r="AE370" s="130"/>
      <c r="AF370" s="126"/>
      <c r="AG370" s="43"/>
      <c r="AH370" s="44"/>
      <c r="AI370" s="45"/>
      <c r="AJ370" s="46"/>
      <c r="AK370" s="41">
        <v>1</v>
      </c>
      <c r="AL370" s="47"/>
      <c r="AM370" s="48"/>
      <c r="AN370" s="111"/>
      <c r="AO370" s="42"/>
      <c r="AP370" s="42"/>
      <c r="AQ370" s="115"/>
      <c r="AR370" s="75"/>
      <c r="AS370" s="40">
        <f t="shared" si="35"/>
        <v>1</v>
      </c>
      <c r="AW370" s="49"/>
      <c r="AX370" s="49"/>
      <c r="AY370" s="49"/>
      <c r="AZ370" s="49"/>
      <c r="BA370" s="49"/>
      <c r="BB370" s="49"/>
      <c r="BC370" s="49"/>
      <c r="BD370" s="49"/>
      <c r="BE370" s="49"/>
    </row>
    <row r="371" spans="1:57" ht="39" hidden="1" x14ac:dyDescent="0.35">
      <c r="A371" s="123" t="s">
        <v>2142</v>
      </c>
      <c r="B371" s="123" t="s">
        <v>2325</v>
      </c>
      <c r="C371" s="124" t="s">
        <v>2375</v>
      </c>
      <c r="D371" s="124" t="s">
        <v>5</v>
      </c>
      <c r="E371" s="124"/>
      <c r="F371" s="124" t="s">
        <v>2434</v>
      </c>
      <c r="G371" s="85"/>
      <c r="H371" s="86"/>
      <c r="I371" s="87"/>
      <c r="J371" s="88"/>
      <c r="K371" s="89"/>
      <c r="L371" s="90"/>
      <c r="M371" s="165"/>
      <c r="N371" s="134"/>
      <c r="O371" s="45"/>
      <c r="P371" s="130"/>
      <c r="Q371" s="45"/>
      <c r="R371" s="136"/>
      <c r="S371" s="139"/>
      <c r="T371" s="136"/>
      <c r="U371" s="139"/>
      <c r="V371" s="45"/>
      <c r="W371" s="136"/>
      <c r="X371" s="134"/>
      <c r="Y371" s="166"/>
      <c r="Z371" s="126"/>
      <c r="AA371" s="130"/>
      <c r="AB371" s="126"/>
      <c r="AC371" s="130" t="s">
        <v>37</v>
      </c>
      <c r="AD371" s="126"/>
      <c r="AE371" s="130"/>
      <c r="AF371" s="126"/>
      <c r="AG371" s="43"/>
      <c r="AH371" s="44"/>
      <c r="AI371" s="45"/>
      <c r="AJ371" s="46"/>
      <c r="AK371" s="41"/>
      <c r="AL371" s="47"/>
      <c r="AM371" s="48"/>
      <c r="AN371" s="111"/>
      <c r="AO371" s="42"/>
      <c r="AP371" s="42"/>
      <c r="AQ371" s="115"/>
      <c r="AR371" s="75">
        <v>1</v>
      </c>
      <c r="AS371" s="40">
        <f t="shared" si="35"/>
        <v>1</v>
      </c>
      <c r="AW371" s="49"/>
      <c r="AX371" s="49"/>
      <c r="AY371" s="49"/>
      <c r="AZ371" s="49"/>
      <c r="BA371" s="49"/>
      <c r="BB371" s="49"/>
      <c r="BC371" s="49"/>
      <c r="BD371" s="49"/>
      <c r="BE371" s="49"/>
    </row>
    <row r="372" spans="1:57" ht="26" hidden="1" x14ac:dyDescent="0.35">
      <c r="A372" s="123" t="s">
        <v>2142</v>
      </c>
      <c r="B372" s="123" t="s">
        <v>2325</v>
      </c>
      <c r="C372" s="124" t="s">
        <v>2304</v>
      </c>
      <c r="D372" s="124" t="s">
        <v>5</v>
      </c>
      <c r="E372" s="124">
        <v>600</v>
      </c>
      <c r="F372" s="124" t="s">
        <v>2305</v>
      </c>
      <c r="G372" s="85"/>
      <c r="H372" s="86"/>
      <c r="I372" s="87"/>
      <c r="J372" s="88"/>
      <c r="K372" s="89"/>
      <c r="L372" s="90"/>
      <c r="M372" s="165"/>
      <c r="N372" s="134"/>
      <c r="O372" s="45"/>
      <c r="P372" s="130"/>
      <c r="Q372" s="45"/>
      <c r="R372" s="136"/>
      <c r="S372" s="139"/>
      <c r="T372" s="136"/>
      <c r="U372" s="139"/>
      <c r="V372" s="45"/>
      <c r="W372" s="136"/>
      <c r="X372" s="134"/>
      <c r="Y372" s="166"/>
      <c r="Z372" s="126"/>
      <c r="AA372" s="130"/>
      <c r="AB372" s="126"/>
      <c r="AC372" s="130"/>
      <c r="AD372" s="126"/>
      <c r="AE372" s="130"/>
      <c r="AF372" s="126"/>
      <c r="AG372" s="43"/>
      <c r="AH372" s="44"/>
      <c r="AI372" s="45"/>
      <c r="AJ372" s="46">
        <v>1</v>
      </c>
      <c r="AK372" s="41"/>
      <c r="AL372" s="47"/>
      <c r="AM372" s="48"/>
      <c r="AN372" s="111"/>
      <c r="AO372" s="42"/>
      <c r="AP372" s="42"/>
      <c r="AQ372" s="115"/>
      <c r="AR372" s="75"/>
      <c r="AS372" s="40">
        <f t="shared" si="35"/>
        <v>1</v>
      </c>
      <c r="AW372" s="49"/>
      <c r="AX372" s="49"/>
      <c r="AY372" s="49"/>
      <c r="AZ372" s="49"/>
      <c r="BA372" s="49"/>
      <c r="BB372" s="49"/>
      <c r="BC372" s="49"/>
      <c r="BD372" s="49"/>
      <c r="BE372" s="49"/>
    </row>
    <row r="373" spans="1:57" ht="26" hidden="1" x14ac:dyDescent="0.35">
      <c r="A373" s="123" t="s">
        <v>2142</v>
      </c>
      <c r="B373" s="123" t="s">
        <v>2325</v>
      </c>
      <c r="C373" s="124" t="s">
        <v>2376</v>
      </c>
      <c r="D373" s="124" t="s">
        <v>5</v>
      </c>
      <c r="E373" s="124"/>
      <c r="F373" s="124" t="s">
        <v>2305</v>
      </c>
      <c r="G373" s="85"/>
      <c r="H373" s="86"/>
      <c r="I373" s="87"/>
      <c r="J373" s="88"/>
      <c r="K373" s="89"/>
      <c r="L373" s="90"/>
      <c r="M373" s="165"/>
      <c r="N373" s="134"/>
      <c r="O373" s="45"/>
      <c r="P373" s="130"/>
      <c r="Q373" s="45"/>
      <c r="R373" s="136"/>
      <c r="S373" s="139"/>
      <c r="T373" s="136"/>
      <c r="U373" s="139"/>
      <c r="V373" s="45"/>
      <c r="W373" s="136"/>
      <c r="X373" s="134"/>
      <c r="Y373" s="166"/>
      <c r="Z373" s="126"/>
      <c r="AA373" s="130"/>
      <c r="AB373" s="126"/>
      <c r="AC373" s="130"/>
      <c r="AD373" s="126"/>
      <c r="AE373" s="130"/>
      <c r="AF373" s="126"/>
      <c r="AG373" s="43"/>
      <c r="AH373" s="44"/>
      <c r="AI373" s="45"/>
      <c r="AJ373" s="46"/>
      <c r="AK373" s="41"/>
      <c r="AL373" s="47"/>
      <c r="AM373" s="48"/>
      <c r="AN373" s="111"/>
      <c r="AO373" s="42"/>
      <c r="AP373" s="42"/>
      <c r="AQ373" s="115"/>
      <c r="AR373" s="75">
        <v>1</v>
      </c>
      <c r="AS373" s="40">
        <f t="shared" si="35"/>
        <v>1</v>
      </c>
      <c r="AW373" s="49"/>
      <c r="AX373" s="49"/>
      <c r="AY373" s="49"/>
      <c r="AZ373" s="49"/>
      <c r="BA373" s="49"/>
      <c r="BB373" s="49"/>
      <c r="BC373" s="49"/>
      <c r="BD373" s="49"/>
      <c r="BE373" s="49"/>
    </row>
    <row r="374" spans="1:57" ht="39" hidden="1" x14ac:dyDescent="0.35">
      <c r="A374" s="123" t="s">
        <v>2142</v>
      </c>
      <c r="B374" s="123" t="s">
        <v>2325</v>
      </c>
      <c r="C374" s="124" t="s">
        <v>2181</v>
      </c>
      <c r="D374" s="124" t="s">
        <v>5</v>
      </c>
      <c r="E374" s="124">
        <v>1000</v>
      </c>
      <c r="F374" s="124" t="s">
        <v>2183</v>
      </c>
      <c r="G374" s="85"/>
      <c r="H374" s="86"/>
      <c r="I374" s="87"/>
      <c r="J374" s="88"/>
      <c r="K374" s="89"/>
      <c r="L374" s="90"/>
      <c r="M374" s="165"/>
      <c r="N374" s="134"/>
      <c r="O374" s="45"/>
      <c r="P374" s="130"/>
      <c r="Q374" s="45"/>
      <c r="R374" s="136"/>
      <c r="S374" s="139"/>
      <c r="T374" s="136"/>
      <c r="U374" s="139"/>
      <c r="V374" s="45"/>
      <c r="W374" s="136"/>
      <c r="X374" s="134"/>
      <c r="Y374" s="166"/>
      <c r="Z374" s="126"/>
      <c r="AA374" s="130"/>
      <c r="AB374" s="126"/>
      <c r="AC374" s="130"/>
      <c r="AD374" s="126"/>
      <c r="AE374" s="130"/>
      <c r="AF374" s="126"/>
      <c r="AG374" s="43"/>
      <c r="AH374" s="44"/>
      <c r="AI374" s="45"/>
      <c r="AJ374" s="46">
        <v>1</v>
      </c>
      <c r="AK374" s="41"/>
      <c r="AL374" s="47"/>
      <c r="AM374" s="48"/>
      <c r="AN374" s="111"/>
      <c r="AO374" s="42"/>
      <c r="AP374" s="42"/>
      <c r="AQ374" s="115"/>
      <c r="AR374" s="75"/>
      <c r="AS374" s="40">
        <f t="shared" si="35"/>
        <v>1</v>
      </c>
      <c r="AW374" s="49"/>
      <c r="AX374" s="49"/>
      <c r="AY374" s="49"/>
      <c r="AZ374" s="49"/>
      <c r="BA374" s="49"/>
      <c r="BB374" s="49"/>
      <c r="BC374" s="49"/>
      <c r="BD374" s="49"/>
      <c r="BE374" s="49"/>
    </row>
    <row r="375" spans="1:57" ht="52" hidden="1" x14ac:dyDescent="0.35">
      <c r="A375" s="123" t="s">
        <v>2142</v>
      </c>
      <c r="B375" s="123" t="s">
        <v>2325</v>
      </c>
      <c r="C375" s="124" t="s">
        <v>2377</v>
      </c>
      <c r="D375" s="124" t="s">
        <v>5</v>
      </c>
      <c r="E375" s="124"/>
      <c r="F375" s="124" t="s">
        <v>2183</v>
      </c>
      <c r="G375" s="85"/>
      <c r="H375" s="86"/>
      <c r="I375" s="87"/>
      <c r="J375" s="88"/>
      <c r="K375" s="89"/>
      <c r="L375" s="90"/>
      <c r="M375" s="165"/>
      <c r="N375" s="134"/>
      <c r="O375" s="45"/>
      <c r="P375" s="130"/>
      <c r="Q375" s="45"/>
      <c r="R375" s="136"/>
      <c r="S375" s="139"/>
      <c r="T375" s="136"/>
      <c r="U375" s="139"/>
      <c r="V375" s="45"/>
      <c r="W375" s="136"/>
      <c r="X375" s="134"/>
      <c r="Y375" s="166"/>
      <c r="Z375" s="126"/>
      <c r="AA375" s="130"/>
      <c r="AB375" s="126"/>
      <c r="AC375" s="130"/>
      <c r="AD375" s="126"/>
      <c r="AE375" s="130"/>
      <c r="AF375" s="126"/>
      <c r="AG375" s="43"/>
      <c r="AH375" s="44"/>
      <c r="AI375" s="45"/>
      <c r="AJ375" s="46"/>
      <c r="AK375" s="41"/>
      <c r="AL375" s="47"/>
      <c r="AM375" s="48"/>
      <c r="AN375" s="111"/>
      <c r="AO375" s="42"/>
      <c r="AP375" s="42"/>
      <c r="AQ375" s="115"/>
      <c r="AR375" s="75">
        <v>1</v>
      </c>
      <c r="AS375" s="40">
        <f t="shared" si="35"/>
        <v>1</v>
      </c>
      <c r="AW375" s="49"/>
      <c r="AX375" s="49"/>
      <c r="AY375" s="49"/>
      <c r="AZ375" s="49"/>
      <c r="BA375" s="49"/>
      <c r="BB375" s="49"/>
      <c r="BC375" s="49"/>
      <c r="BD375" s="49"/>
      <c r="BE375" s="49"/>
    </row>
    <row r="376" spans="1:57" ht="26" hidden="1" x14ac:dyDescent="0.35">
      <c r="A376" s="123" t="s">
        <v>2142</v>
      </c>
      <c r="B376" s="123" t="s">
        <v>2441</v>
      </c>
      <c r="C376" s="124" t="s">
        <v>2445</v>
      </c>
      <c r="D376" s="124" t="s">
        <v>8</v>
      </c>
      <c r="E376" s="124">
        <v>200</v>
      </c>
      <c r="F376" s="124" t="s">
        <v>2446</v>
      </c>
      <c r="G376" s="85">
        <v>2</v>
      </c>
      <c r="H376" s="86"/>
      <c r="I376" s="87"/>
      <c r="J376" s="88"/>
      <c r="K376" s="89" t="s">
        <v>12</v>
      </c>
      <c r="L376" s="90" t="s">
        <v>12</v>
      </c>
      <c r="M376" s="165"/>
      <c r="N376" s="134"/>
      <c r="O376" s="45" t="s">
        <v>12</v>
      </c>
      <c r="P376" s="130"/>
      <c r="Q376" s="45"/>
      <c r="R376" s="136"/>
      <c r="S376" s="139"/>
      <c r="T376" s="136"/>
      <c r="U376" s="139"/>
      <c r="V376" s="45"/>
      <c r="W376" s="136"/>
      <c r="X376" s="134"/>
      <c r="Y376" s="166"/>
      <c r="Z376" s="126"/>
      <c r="AA376" s="130"/>
      <c r="AB376" s="126"/>
      <c r="AC376" s="130"/>
      <c r="AD376" s="126"/>
      <c r="AE376" s="130"/>
      <c r="AF376" s="126"/>
      <c r="AG376" s="43"/>
      <c r="AH376" s="44"/>
      <c r="AI376" s="45"/>
      <c r="AJ376" s="46"/>
      <c r="AK376" s="41"/>
      <c r="AL376" s="47"/>
      <c r="AM376" s="48"/>
      <c r="AN376" s="111">
        <v>1</v>
      </c>
      <c r="AO376" s="42"/>
      <c r="AP376" s="42"/>
      <c r="AQ376" s="115"/>
      <c r="AR376" s="75"/>
      <c r="AS376" s="40"/>
      <c r="AW376" s="49"/>
      <c r="AX376" s="49"/>
      <c r="AY376" s="49"/>
      <c r="AZ376" s="49"/>
      <c r="BA376" s="49"/>
      <c r="BB376" s="49"/>
      <c r="BC376" s="49"/>
      <c r="BD376" s="49"/>
      <c r="BE376" s="49"/>
    </row>
    <row r="377" spans="1:57" ht="26" hidden="1" x14ac:dyDescent="0.35">
      <c r="A377" s="123" t="s">
        <v>2142</v>
      </c>
      <c r="B377" s="123" t="s">
        <v>2441</v>
      </c>
      <c r="C377" s="124" t="s">
        <v>2469</v>
      </c>
      <c r="D377" s="124" t="s">
        <v>8</v>
      </c>
      <c r="E377" s="124">
        <v>300</v>
      </c>
      <c r="F377" s="124" t="s">
        <v>2470</v>
      </c>
      <c r="G377" s="85">
        <v>2</v>
      </c>
      <c r="H377" s="86"/>
      <c r="I377" s="87"/>
      <c r="J377" s="88"/>
      <c r="K377" s="89"/>
      <c r="L377" s="90" t="s">
        <v>12</v>
      </c>
      <c r="M377" s="165"/>
      <c r="N377" s="134"/>
      <c r="O377" s="45"/>
      <c r="P377" s="130"/>
      <c r="Q377" s="45"/>
      <c r="R377" s="136"/>
      <c r="S377" s="139"/>
      <c r="T377" s="136"/>
      <c r="U377" s="139"/>
      <c r="V377" s="45" t="s">
        <v>12</v>
      </c>
      <c r="W377" s="136"/>
      <c r="X377" s="134"/>
      <c r="Y377" s="166"/>
      <c r="Z377" s="126"/>
      <c r="AA377" s="130"/>
      <c r="AB377" s="126"/>
      <c r="AC377" s="130"/>
      <c r="AD377" s="126"/>
      <c r="AE377" s="130"/>
      <c r="AF377" s="126"/>
      <c r="AG377" s="43"/>
      <c r="AH377" s="44"/>
      <c r="AI377" s="45">
        <v>1</v>
      </c>
      <c r="AJ377" s="46"/>
      <c r="AK377" s="41"/>
      <c r="AL377" s="47"/>
      <c r="AM377" s="48"/>
      <c r="AN377" s="111"/>
      <c r="AO377" s="42"/>
      <c r="AP377" s="42"/>
      <c r="AQ377" s="115"/>
      <c r="AR377" s="75"/>
      <c r="AS377" s="40"/>
      <c r="AW377" s="49"/>
      <c r="AX377" s="49"/>
      <c r="AY377" s="49"/>
      <c r="AZ377" s="49"/>
      <c r="BA377" s="49"/>
      <c r="BB377" s="49"/>
      <c r="BC377" s="49"/>
      <c r="BD377" s="49"/>
      <c r="BE377" s="49"/>
    </row>
    <row r="378" spans="1:57" ht="26" x14ac:dyDescent="0.35">
      <c r="A378" s="123" t="s">
        <v>2142</v>
      </c>
      <c r="B378" s="123" t="s">
        <v>2441</v>
      </c>
      <c r="C378" s="124" t="s">
        <v>2447</v>
      </c>
      <c r="D378" s="124" t="s">
        <v>8</v>
      </c>
      <c r="E378" s="124">
        <v>300</v>
      </c>
      <c r="F378" s="124" t="s">
        <v>103</v>
      </c>
      <c r="G378" s="85">
        <v>2</v>
      </c>
      <c r="H378" s="86"/>
      <c r="I378" s="87"/>
      <c r="J378" s="88"/>
      <c r="K378" s="89" t="s">
        <v>12</v>
      </c>
      <c r="L378" s="90" t="s">
        <v>12</v>
      </c>
      <c r="M378" s="165"/>
      <c r="N378" s="134"/>
      <c r="O378" s="45"/>
      <c r="P378" s="130"/>
      <c r="Q378" s="45"/>
      <c r="R378" s="136"/>
      <c r="S378" s="139"/>
      <c r="T378" s="136"/>
      <c r="U378" s="139"/>
      <c r="V378" s="45"/>
      <c r="W378" s="136"/>
      <c r="X378" s="134"/>
      <c r="Y378" s="166" t="s">
        <v>12</v>
      </c>
      <c r="Z378" s="126"/>
      <c r="AA378" s="130"/>
      <c r="AB378" s="126"/>
      <c r="AC378" s="130"/>
      <c r="AD378" s="126"/>
      <c r="AE378" s="130"/>
      <c r="AF378" s="126"/>
      <c r="AG378" s="43"/>
      <c r="AH378" s="44"/>
      <c r="AI378" s="45"/>
      <c r="AJ378" s="46"/>
      <c r="AK378" s="41"/>
      <c r="AL378" s="47"/>
      <c r="AM378" s="48"/>
      <c r="AN378" s="111">
        <v>1</v>
      </c>
      <c r="AO378" s="42"/>
      <c r="AP378" s="42"/>
      <c r="AQ378" s="115"/>
      <c r="AR378" s="75"/>
      <c r="AS378" s="40"/>
      <c r="AW378" s="49"/>
      <c r="AX378" s="49"/>
      <c r="AY378" s="49"/>
      <c r="AZ378" s="49"/>
      <c r="BA378" s="49"/>
      <c r="BB378" s="49"/>
      <c r="BC378" s="49"/>
      <c r="BD378" s="49"/>
      <c r="BE378" s="49"/>
    </row>
    <row r="379" spans="1:57" ht="39" hidden="1" x14ac:dyDescent="0.35">
      <c r="A379" s="123" t="s">
        <v>2142</v>
      </c>
      <c r="B379" s="123" t="s">
        <v>2441</v>
      </c>
      <c r="C379" s="124" t="s">
        <v>2442</v>
      </c>
      <c r="D379" s="124" t="s">
        <v>8</v>
      </c>
      <c r="E379" s="124">
        <v>300</v>
      </c>
      <c r="F379" s="124" t="s">
        <v>2443</v>
      </c>
      <c r="G379" s="85">
        <v>1</v>
      </c>
      <c r="H379" s="86"/>
      <c r="I379" s="87">
        <v>1</v>
      </c>
      <c r="J379" s="88"/>
      <c r="K379" s="89"/>
      <c r="L379" s="90"/>
      <c r="M379" s="165"/>
      <c r="N379" s="134"/>
      <c r="O379" s="45"/>
      <c r="P379" s="130" t="s">
        <v>12</v>
      </c>
      <c r="Q379" s="45"/>
      <c r="R379" s="136"/>
      <c r="S379" s="139"/>
      <c r="T379" s="136"/>
      <c r="U379" s="139"/>
      <c r="V379" s="45"/>
      <c r="W379" s="136"/>
      <c r="X379" s="134"/>
      <c r="Y379" s="166"/>
      <c r="Z379" s="126"/>
      <c r="AA379" s="130"/>
      <c r="AB379" s="126"/>
      <c r="AC379" s="130"/>
      <c r="AD379" s="126"/>
      <c r="AE379" s="130"/>
      <c r="AF379" s="126"/>
      <c r="AG379" s="43"/>
      <c r="AH379" s="44"/>
      <c r="AI379" s="45"/>
      <c r="AJ379" s="46"/>
      <c r="AK379" s="41"/>
      <c r="AL379" s="47"/>
      <c r="AM379" s="48">
        <v>1</v>
      </c>
      <c r="AN379" s="111"/>
      <c r="AO379" s="42"/>
      <c r="AP379" s="42"/>
      <c r="AQ379" s="115"/>
      <c r="AR379" s="75"/>
      <c r="AS379" s="40"/>
      <c r="AW379" s="49"/>
      <c r="AX379" s="49"/>
      <c r="AY379" s="49"/>
      <c r="AZ379" s="49"/>
      <c r="BA379" s="49"/>
      <c r="BB379" s="49"/>
      <c r="BC379" s="49"/>
      <c r="BD379" s="49"/>
      <c r="BE379" s="49"/>
    </row>
    <row r="380" spans="1:57" ht="26" hidden="1" x14ac:dyDescent="0.35">
      <c r="A380" s="123" t="s">
        <v>2142</v>
      </c>
      <c r="B380" s="123" t="s">
        <v>2441</v>
      </c>
      <c r="C380" s="124" t="s">
        <v>2444</v>
      </c>
      <c r="D380" s="124" t="s">
        <v>8</v>
      </c>
      <c r="E380" s="124">
        <v>300</v>
      </c>
      <c r="F380" s="124" t="s">
        <v>2490</v>
      </c>
      <c r="G380" s="85">
        <v>2</v>
      </c>
      <c r="H380" s="86"/>
      <c r="I380" s="87"/>
      <c r="J380" s="88"/>
      <c r="K380" s="89"/>
      <c r="L380" s="90"/>
      <c r="M380" s="165"/>
      <c r="N380" s="134"/>
      <c r="O380" s="45"/>
      <c r="P380" s="130"/>
      <c r="Q380" s="45"/>
      <c r="R380" s="136"/>
      <c r="S380" s="139"/>
      <c r="T380" s="136"/>
      <c r="U380" s="139"/>
      <c r="V380" s="45"/>
      <c r="W380" s="136"/>
      <c r="X380" s="134" t="s">
        <v>12</v>
      </c>
      <c r="Y380" s="166"/>
      <c r="Z380" s="126"/>
      <c r="AA380" s="130"/>
      <c r="AB380" s="126"/>
      <c r="AC380" s="130"/>
      <c r="AD380" s="126"/>
      <c r="AE380" s="130"/>
      <c r="AF380" s="126"/>
      <c r="AG380" s="43"/>
      <c r="AH380" s="44"/>
      <c r="AI380" s="45"/>
      <c r="AJ380" s="46"/>
      <c r="AK380" s="41"/>
      <c r="AL380" s="47"/>
      <c r="AM380" s="48">
        <v>1</v>
      </c>
      <c r="AN380" s="111"/>
      <c r="AO380" s="42"/>
      <c r="AP380" s="42"/>
      <c r="AQ380" s="115"/>
      <c r="AR380" s="75"/>
      <c r="AS380" s="40"/>
      <c r="AW380" s="49"/>
      <c r="AX380" s="49"/>
      <c r="AY380" s="49"/>
      <c r="AZ380" s="49"/>
      <c r="BA380" s="49"/>
      <c r="BB380" s="49"/>
      <c r="BC380" s="49"/>
      <c r="BD380" s="49"/>
      <c r="BE380" s="49"/>
    </row>
    <row r="381" spans="1:57" ht="39" hidden="1" x14ac:dyDescent="0.35">
      <c r="A381" s="123" t="s">
        <v>2142</v>
      </c>
      <c r="B381" s="123" t="s">
        <v>2441</v>
      </c>
      <c r="C381" s="124" t="s">
        <v>2453</v>
      </c>
      <c r="D381" s="124" t="s">
        <v>8</v>
      </c>
      <c r="E381" s="124">
        <v>200</v>
      </c>
      <c r="F381" s="124" t="s">
        <v>2455</v>
      </c>
      <c r="G381" s="85"/>
      <c r="H381" s="86">
        <v>2</v>
      </c>
      <c r="I381" s="87"/>
      <c r="J381" s="88" t="s">
        <v>12</v>
      </c>
      <c r="K381" s="89"/>
      <c r="L381" s="90"/>
      <c r="M381" s="165"/>
      <c r="N381" s="134"/>
      <c r="O381" s="45"/>
      <c r="P381" s="130"/>
      <c r="Q381" s="45"/>
      <c r="R381" s="136" t="s">
        <v>12</v>
      </c>
      <c r="S381" s="139"/>
      <c r="T381" s="136" t="s">
        <v>12</v>
      </c>
      <c r="U381" s="139"/>
      <c r="V381" s="45"/>
      <c r="W381" s="136"/>
      <c r="X381" s="134"/>
      <c r="Y381" s="166"/>
      <c r="Z381" s="126"/>
      <c r="AA381" s="130"/>
      <c r="AB381" s="126"/>
      <c r="AC381" s="130"/>
      <c r="AD381" s="126"/>
      <c r="AE381" s="130"/>
      <c r="AF381" s="126"/>
      <c r="AG381" s="43"/>
      <c r="AH381" s="44"/>
      <c r="AI381" s="45"/>
      <c r="AJ381" s="46"/>
      <c r="AK381" s="41"/>
      <c r="AL381" s="47">
        <v>1</v>
      </c>
      <c r="AM381" s="48"/>
      <c r="AN381" s="111"/>
      <c r="AO381" s="42"/>
      <c r="AP381" s="42"/>
      <c r="AQ381" s="115"/>
      <c r="AR381" s="75"/>
      <c r="AS381" s="40"/>
      <c r="AW381" s="49"/>
      <c r="AX381" s="49"/>
      <c r="AY381" s="49"/>
      <c r="AZ381" s="49"/>
      <c r="BA381" s="49"/>
      <c r="BB381" s="49"/>
      <c r="BC381" s="49"/>
      <c r="BD381" s="49"/>
      <c r="BE381" s="49"/>
    </row>
    <row r="382" spans="1:57" ht="39" hidden="1" x14ac:dyDescent="0.35">
      <c r="A382" s="123" t="s">
        <v>2142</v>
      </c>
      <c r="B382" s="123" t="s">
        <v>2441</v>
      </c>
      <c r="C382" s="124" t="s">
        <v>2448</v>
      </c>
      <c r="D382" s="124" t="s">
        <v>8</v>
      </c>
      <c r="E382" s="124">
        <v>200</v>
      </c>
      <c r="F382" s="124" t="s">
        <v>2449</v>
      </c>
      <c r="G382" s="85">
        <v>2</v>
      </c>
      <c r="H382" s="86"/>
      <c r="I382" s="87"/>
      <c r="J382" s="88"/>
      <c r="K382" s="89"/>
      <c r="L382" s="90" t="s">
        <v>12</v>
      </c>
      <c r="M382" s="165"/>
      <c r="N382" s="134"/>
      <c r="O382" s="45" t="s">
        <v>12</v>
      </c>
      <c r="P382" s="130"/>
      <c r="Q382" s="45"/>
      <c r="R382" s="136"/>
      <c r="S382" s="139"/>
      <c r="T382" s="136"/>
      <c r="U382" s="139"/>
      <c r="V382" s="45"/>
      <c r="W382" s="136"/>
      <c r="X382" s="134"/>
      <c r="Y382" s="166"/>
      <c r="Z382" s="126"/>
      <c r="AA382" s="130"/>
      <c r="AB382" s="126"/>
      <c r="AC382" s="130"/>
      <c r="AD382" s="126"/>
      <c r="AE382" s="130"/>
      <c r="AF382" s="126"/>
      <c r="AG382" s="43"/>
      <c r="AH382" s="44"/>
      <c r="AI382" s="45"/>
      <c r="AJ382" s="46"/>
      <c r="AK382" s="41"/>
      <c r="AL382" s="47"/>
      <c r="AM382" s="48"/>
      <c r="AN382" s="111">
        <v>1</v>
      </c>
      <c r="AO382" s="42"/>
      <c r="AP382" s="42"/>
      <c r="AQ382" s="115"/>
      <c r="AR382" s="75"/>
      <c r="AS382" s="40"/>
      <c r="AW382" s="49"/>
      <c r="AX382" s="49"/>
      <c r="AY382" s="49"/>
      <c r="AZ382" s="49"/>
      <c r="BA382" s="49"/>
      <c r="BB382" s="49"/>
      <c r="BC382" s="49"/>
      <c r="BD382" s="49"/>
      <c r="BE382" s="49"/>
    </row>
    <row r="383" spans="1:57" ht="19" x14ac:dyDescent="0.35">
      <c r="A383" s="123" t="s">
        <v>2142</v>
      </c>
      <c r="B383" s="123" t="s">
        <v>2441</v>
      </c>
      <c r="C383" s="124" t="s">
        <v>2471</v>
      </c>
      <c r="D383" s="124" t="s">
        <v>8</v>
      </c>
      <c r="E383" s="124">
        <v>100</v>
      </c>
      <c r="F383" s="124" t="s">
        <v>2472</v>
      </c>
      <c r="G383" s="85"/>
      <c r="H383" s="86"/>
      <c r="I383" s="87">
        <v>1</v>
      </c>
      <c r="J383" s="88" t="s">
        <v>12</v>
      </c>
      <c r="K383" s="89"/>
      <c r="L383" s="90"/>
      <c r="M383" s="165"/>
      <c r="N383" s="134"/>
      <c r="O383" s="45"/>
      <c r="P383" s="130"/>
      <c r="Q383" s="45" t="s">
        <v>12</v>
      </c>
      <c r="R383" s="136"/>
      <c r="S383" s="139"/>
      <c r="T383" s="136"/>
      <c r="U383" s="139"/>
      <c r="V383" s="45"/>
      <c r="W383" s="136"/>
      <c r="X383" s="134"/>
      <c r="Y383" s="166"/>
      <c r="Z383" s="126"/>
      <c r="AA383" s="130"/>
      <c r="AB383" s="126"/>
      <c r="AC383" s="130"/>
      <c r="AD383" s="126"/>
      <c r="AE383" s="130"/>
      <c r="AF383" s="126"/>
      <c r="AG383" s="43"/>
      <c r="AH383" s="44"/>
      <c r="AI383" s="45">
        <v>1</v>
      </c>
      <c r="AJ383" s="46"/>
      <c r="AK383" s="41"/>
      <c r="AL383" s="47"/>
      <c r="AM383" s="48"/>
      <c r="AN383" s="111"/>
      <c r="AO383" s="42"/>
      <c r="AP383" s="42"/>
      <c r="AQ383" s="115"/>
      <c r="AR383" s="75"/>
      <c r="AS383" s="40"/>
      <c r="AW383" s="49"/>
      <c r="AX383" s="49"/>
      <c r="AY383" s="49"/>
      <c r="AZ383" s="49"/>
      <c r="BA383" s="49"/>
      <c r="BB383" s="49"/>
      <c r="BC383" s="49"/>
      <c r="BD383" s="49"/>
      <c r="BE383" s="49"/>
    </row>
    <row r="384" spans="1:57" ht="19" hidden="1" x14ac:dyDescent="0.35">
      <c r="A384" s="123" t="s">
        <v>2142</v>
      </c>
      <c r="B384" s="123" t="s">
        <v>2441</v>
      </c>
      <c r="C384" s="124" t="s">
        <v>2464</v>
      </c>
      <c r="D384" s="124" t="s">
        <v>8</v>
      </c>
      <c r="E384" s="124">
        <v>100</v>
      </c>
      <c r="F384" s="124" t="s">
        <v>2466</v>
      </c>
      <c r="G384" s="85"/>
      <c r="H384" s="86">
        <v>1</v>
      </c>
      <c r="I384" s="87"/>
      <c r="J384" s="88" t="s">
        <v>12</v>
      </c>
      <c r="K384" s="89"/>
      <c r="L384" s="90"/>
      <c r="M384" s="165"/>
      <c r="N384" s="134"/>
      <c r="O384" s="45"/>
      <c r="P384" s="130"/>
      <c r="Q384" s="45"/>
      <c r="R384" s="136" t="s">
        <v>12</v>
      </c>
      <c r="S384" s="139"/>
      <c r="T384" s="136"/>
      <c r="U384" s="139"/>
      <c r="V384" s="45"/>
      <c r="W384" s="136"/>
      <c r="X384" s="134"/>
      <c r="Y384" s="166"/>
      <c r="Z384" s="126"/>
      <c r="AA384" s="130"/>
      <c r="AB384" s="126"/>
      <c r="AC384" s="130"/>
      <c r="AD384" s="126"/>
      <c r="AE384" s="130"/>
      <c r="AF384" s="126"/>
      <c r="AG384" s="43"/>
      <c r="AH384" s="44"/>
      <c r="AI384" s="45"/>
      <c r="AJ384" s="46">
        <v>1</v>
      </c>
      <c r="AK384" s="41"/>
      <c r="AL384" s="47"/>
      <c r="AM384" s="48"/>
      <c r="AN384" s="111"/>
      <c r="AO384" s="42"/>
      <c r="AP384" s="42"/>
      <c r="AQ384" s="115"/>
      <c r="AR384" s="75"/>
      <c r="AS384" s="40"/>
      <c r="AW384" s="49"/>
      <c r="AX384" s="49"/>
      <c r="AY384" s="49"/>
      <c r="AZ384" s="49"/>
      <c r="BA384" s="49"/>
      <c r="BB384" s="49"/>
      <c r="BC384" s="49"/>
      <c r="BD384" s="49"/>
      <c r="BE384" s="49"/>
    </row>
    <row r="385" spans="1:57" ht="26" hidden="1" x14ac:dyDescent="0.35">
      <c r="A385" s="123" t="s">
        <v>2142</v>
      </c>
      <c r="B385" s="123" t="s">
        <v>2441</v>
      </c>
      <c r="C385" s="124" t="s">
        <v>2465</v>
      </c>
      <c r="D385" s="124" t="s">
        <v>8</v>
      </c>
      <c r="E385" s="124">
        <v>200</v>
      </c>
      <c r="F385" s="124" t="s">
        <v>2491</v>
      </c>
      <c r="G385" s="85"/>
      <c r="H385" s="86"/>
      <c r="I385" s="87"/>
      <c r="J385" s="88"/>
      <c r="K385" s="89"/>
      <c r="L385" s="90"/>
      <c r="M385" s="165"/>
      <c r="N385" s="134"/>
      <c r="O385" s="45"/>
      <c r="P385" s="130"/>
      <c r="Q385" s="45"/>
      <c r="R385" s="136" t="s">
        <v>12</v>
      </c>
      <c r="S385" s="139"/>
      <c r="T385" s="136"/>
      <c r="U385" s="139"/>
      <c r="V385" s="45"/>
      <c r="W385" s="136"/>
      <c r="X385" s="134" t="s">
        <v>12</v>
      </c>
      <c r="Y385" s="166"/>
      <c r="Z385" s="126"/>
      <c r="AA385" s="130"/>
      <c r="AB385" s="126"/>
      <c r="AC385" s="130"/>
      <c r="AD385" s="126"/>
      <c r="AE385" s="130"/>
      <c r="AF385" s="126"/>
      <c r="AG385" s="43"/>
      <c r="AH385" s="44"/>
      <c r="AI385" s="45"/>
      <c r="AJ385" s="46">
        <v>1</v>
      </c>
      <c r="AK385" s="41"/>
      <c r="AL385" s="47"/>
      <c r="AM385" s="48"/>
      <c r="AN385" s="111"/>
      <c r="AO385" s="42"/>
      <c r="AP385" s="42"/>
      <c r="AQ385" s="115"/>
      <c r="AR385" s="75"/>
      <c r="AS385" s="40"/>
      <c r="AW385" s="49"/>
      <c r="AX385" s="49"/>
      <c r="AY385" s="49"/>
      <c r="AZ385" s="49"/>
      <c r="BA385" s="49"/>
      <c r="BB385" s="49"/>
      <c r="BC385" s="49"/>
      <c r="BD385" s="49"/>
      <c r="BE385" s="49"/>
    </row>
    <row r="386" spans="1:57" ht="26" hidden="1" x14ac:dyDescent="0.35">
      <c r="A386" s="123" t="s">
        <v>2142</v>
      </c>
      <c r="B386" s="123" t="s">
        <v>2441</v>
      </c>
      <c r="C386" s="124" t="s">
        <v>2450</v>
      </c>
      <c r="D386" s="124" t="s">
        <v>8</v>
      </c>
      <c r="E386" s="124">
        <v>100</v>
      </c>
      <c r="F386" s="124" t="s">
        <v>2451</v>
      </c>
      <c r="G386" s="85"/>
      <c r="H386" s="86"/>
      <c r="I386" s="87">
        <v>1</v>
      </c>
      <c r="J386" s="88"/>
      <c r="K386" s="89" t="s">
        <v>12</v>
      </c>
      <c r="L386" s="90" t="s">
        <v>12</v>
      </c>
      <c r="M386" s="165"/>
      <c r="N386" s="134"/>
      <c r="O386" s="45"/>
      <c r="P386" s="130" t="s">
        <v>12</v>
      </c>
      <c r="Q386" s="45"/>
      <c r="R386" s="136"/>
      <c r="S386" s="139"/>
      <c r="T386" s="136"/>
      <c r="U386" s="139"/>
      <c r="V386" s="45"/>
      <c r="W386" s="136"/>
      <c r="X386" s="134"/>
      <c r="Y386" s="166"/>
      <c r="Z386" s="126"/>
      <c r="AA386" s="130"/>
      <c r="AB386" s="126"/>
      <c r="AC386" s="130"/>
      <c r="AD386" s="126"/>
      <c r="AE386" s="130"/>
      <c r="AF386" s="126"/>
      <c r="AG386" s="43"/>
      <c r="AH386" s="44"/>
      <c r="AI386" s="45"/>
      <c r="AJ386" s="46"/>
      <c r="AK386" s="41"/>
      <c r="AL386" s="47"/>
      <c r="AM386" s="48"/>
      <c r="AN386" s="111">
        <v>1</v>
      </c>
      <c r="AO386" s="42"/>
      <c r="AP386" s="42"/>
      <c r="AQ386" s="115"/>
      <c r="AR386" s="75"/>
      <c r="AS386" s="40"/>
      <c r="AW386" s="49"/>
      <c r="AX386" s="49"/>
      <c r="AY386" s="49"/>
      <c r="AZ386" s="49"/>
      <c r="BA386" s="49"/>
      <c r="BB386" s="49"/>
      <c r="BC386" s="49"/>
      <c r="BD386" s="49"/>
      <c r="BE386" s="49"/>
    </row>
    <row r="387" spans="1:57" ht="26" hidden="1" x14ac:dyDescent="0.35">
      <c r="A387" s="123" t="s">
        <v>2142</v>
      </c>
      <c r="B387" s="123" t="s">
        <v>2441</v>
      </c>
      <c r="C387" s="124" t="s">
        <v>2459</v>
      </c>
      <c r="D387" s="124" t="s">
        <v>8</v>
      </c>
      <c r="E387" s="124">
        <v>0</v>
      </c>
      <c r="F387" s="124" t="s">
        <v>2461</v>
      </c>
      <c r="G387" s="85">
        <v>1</v>
      </c>
      <c r="H387" s="86">
        <v>1</v>
      </c>
      <c r="I387" s="87"/>
      <c r="J387" s="88" t="s">
        <v>12</v>
      </c>
      <c r="K387" s="89"/>
      <c r="L387" s="90"/>
      <c r="M387" s="165"/>
      <c r="N387" s="134"/>
      <c r="O387" s="45"/>
      <c r="P387" s="130"/>
      <c r="Q387" s="45"/>
      <c r="R387" s="136" t="s">
        <v>12</v>
      </c>
      <c r="S387" s="139"/>
      <c r="T387" s="136"/>
      <c r="U387" s="139"/>
      <c r="V387" s="45" t="s">
        <v>12</v>
      </c>
      <c r="W387" s="136"/>
      <c r="X387" s="134"/>
      <c r="Y387" s="166"/>
      <c r="Z387" s="126"/>
      <c r="AA387" s="130"/>
      <c r="AB387" s="126"/>
      <c r="AC387" s="130"/>
      <c r="AD387" s="126"/>
      <c r="AE387" s="130"/>
      <c r="AF387" s="126"/>
      <c r="AG387" s="43"/>
      <c r="AH387" s="44">
        <v>1</v>
      </c>
      <c r="AI387" s="45"/>
      <c r="AJ387" s="46"/>
      <c r="AK387" s="41"/>
      <c r="AL387" s="47"/>
      <c r="AM387" s="48"/>
      <c r="AN387" s="111"/>
      <c r="AO387" s="42"/>
      <c r="AP387" s="42"/>
      <c r="AQ387" s="115"/>
      <c r="AR387" s="75"/>
      <c r="AS387" s="40"/>
      <c r="AW387" s="49"/>
      <c r="AX387" s="49"/>
      <c r="AY387" s="49"/>
      <c r="AZ387" s="49"/>
      <c r="BA387" s="49"/>
      <c r="BB387" s="49"/>
      <c r="BC387" s="49"/>
      <c r="BD387" s="49"/>
      <c r="BE387" s="49"/>
    </row>
    <row r="388" spans="1:57" ht="39" hidden="1" x14ac:dyDescent="0.35">
      <c r="A388" s="123" t="s">
        <v>2142</v>
      </c>
      <c r="B388" s="123" t="s">
        <v>2441</v>
      </c>
      <c r="C388" s="124" t="s">
        <v>2460</v>
      </c>
      <c r="D388" s="124" t="s">
        <v>8</v>
      </c>
      <c r="E388" s="124">
        <v>0</v>
      </c>
      <c r="F388" s="124" t="s">
        <v>2462</v>
      </c>
      <c r="G388" s="85"/>
      <c r="H388" s="86"/>
      <c r="I388" s="87"/>
      <c r="J388" s="88" t="s">
        <v>12</v>
      </c>
      <c r="K388" s="89"/>
      <c r="L388" s="90" t="s">
        <v>12</v>
      </c>
      <c r="M388" s="165"/>
      <c r="N388" s="134"/>
      <c r="O388" s="45"/>
      <c r="P388" s="130"/>
      <c r="Q388" s="45"/>
      <c r="R388" s="136"/>
      <c r="S388" s="139" t="s">
        <v>12</v>
      </c>
      <c r="T388" s="136"/>
      <c r="U388" s="139"/>
      <c r="V388" s="45"/>
      <c r="W388" s="136"/>
      <c r="X388" s="134"/>
      <c r="Y388" s="166"/>
      <c r="Z388" s="126"/>
      <c r="AA388" s="130"/>
      <c r="AB388" s="126"/>
      <c r="AC388" s="130"/>
      <c r="AD388" s="126"/>
      <c r="AE388" s="130"/>
      <c r="AF388" s="126"/>
      <c r="AG388" s="43"/>
      <c r="AH388" s="44">
        <v>1</v>
      </c>
      <c r="AI388" s="45"/>
      <c r="AJ388" s="46"/>
      <c r="AK388" s="41"/>
      <c r="AL388" s="47"/>
      <c r="AM388" s="48"/>
      <c r="AN388" s="111"/>
      <c r="AO388" s="42"/>
      <c r="AP388" s="42"/>
      <c r="AQ388" s="115"/>
      <c r="AR388" s="75"/>
      <c r="AS388" s="40"/>
      <c r="AW388" s="49"/>
      <c r="AX388" s="49"/>
      <c r="AY388" s="49"/>
      <c r="AZ388" s="49"/>
      <c r="BA388" s="49"/>
      <c r="BB388" s="49"/>
      <c r="BC388" s="49"/>
      <c r="BD388" s="49"/>
      <c r="BE388" s="49"/>
    </row>
    <row r="389" spans="1:57" ht="26" hidden="1" x14ac:dyDescent="0.35">
      <c r="A389" s="123" t="s">
        <v>2142</v>
      </c>
      <c r="B389" s="123" t="s">
        <v>2441</v>
      </c>
      <c r="C389" s="124" t="s">
        <v>2454</v>
      </c>
      <c r="D389" s="124" t="s">
        <v>8</v>
      </c>
      <c r="E389" s="124">
        <v>0</v>
      </c>
      <c r="F389" s="124" t="s">
        <v>2456</v>
      </c>
      <c r="G389" s="85">
        <v>1</v>
      </c>
      <c r="H389" s="86"/>
      <c r="I389" s="87"/>
      <c r="J389" s="88"/>
      <c r="K389" s="89"/>
      <c r="L389" s="90"/>
      <c r="M389" s="165"/>
      <c r="N389" s="134"/>
      <c r="O389" s="45" t="s">
        <v>12</v>
      </c>
      <c r="P389" s="130"/>
      <c r="Q389" s="45"/>
      <c r="R389" s="136"/>
      <c r="S389" s="139"/>
      <c r="T389" s="136"/>
      <c r="U389" s="139"/>
      <c r="V389" s="45"/>
      <c r="W389" s="136"/>
      <c r="X389" s="134"/>
      <c r="Y389" s="166"/>
      <c r="Z389" s="126"/>
      <c r="AA389" s="130"/>
      <c r="AB389" s="126"/>
      <c r="AC389" s="130"/>
      <c r="AD389" s="126"/>
      <c r="AE389" s="130"/>
      <c r="AF389" s="126"/>
      <c r="AG389" s="43"/>
      <c r="AH389" s="44"/>
      <c r="AI389" s="45"/>
      <c r="AJ389" s="46"/>
      <c r="AK389" s="41"/>
      <c r="AL389" s="47">
        <v>1</v>
      </c>
      <c r="AM389" s="48"/>
      <c r="AN389" s="111"/>
      <c r="AO389" s="42"/>
      <c r="AP389" s="42"/>
      <c r="AQ389" s="115"/>
      <c r="AR389" s="75"/>
      <c r="AS389" s="40"/>
      <c r="AW389" s="49"/>
      <c r="AX389" s="49"/>
      <c r="AY389" s="49"/>
      <c r="AZ389" s="49"/>
      <c r="BA389" s="49"/>
      <c r="BB389" s="49"/>
      <c r="BC389" s="49"/>
      <c r="BD389" s="49"/>
      <c r="BE389" s="49"/>
    </row>
    <row r="390" spans="1:57" ht="26" hidden="1" x14ac:dyDescent="0.35">
      <c r="A390" s="123" t="s">
        <v>2142</v>
      </c>
      <c r="B390" s="123" t="s">
        <v>2441</v>
      </c>
      <c r="C390" s="124" t="s">
        <v>2474</v>
      </c>
      <c r="D390" s="124" t="s">
        <v>8</v>
      </c>
      <c r="E390" s="124">
        <v>100</v>
      </c>
      <c r="F390" s="124" t="s">
        <v>2475</v>
      </c>
      <c r="G390" s="85">
        <v>1</v>
      </c>
      <c r="H390" s="86"/>
      <c r="I390" s="87"/>
      <c r="J390" s="88"/>
      <c r="K390" s="89" t="s">
        <v>12</v>
      </c>
      <c r="L390" s="90" t="s">
        <v>12</v>
      </c>
      <c r="M390" s="165"/>
      <c r="N390" s="134"/>
      <c r="O390" s="45" t="s">
        <v>12</v>
      </c>
      <c r="P390" s="130"/>
      <c r="Q390" s="45"/>
      <c r="R390" s="136"/>
      <c r="S390" s="139"/>
      <c r="T390" s="136"/>
      <c r="U390" s="139"/>
      <c r="V390" s="45"/>
      <c r="W390" s="136"/>
      <c r="X390" s="134"/>
      <c r="Y390" s="166"/>
      <c r="Z390" s="126"/>
      <c r="AA390" s="130"/>
      <c r="AB390" s="126"/>
      <c r="AC390" s="130"/>
      <c r="AD390" s="126"/>
      <c r="AE390" s="130"/>
      <c r="AF390" s="126"/>
      <c r="AG390" s="43">
        <v>1</v>
      </c>
      <c r="AH390" s="44"/>
      <c r="AI390" s="45"/>
      <c r="AJ390" s="46"/>
      <c r="AK390" s="41"/>
      <c r="AL390" s="47"/>
      <c r="AM390" s="48"/>
      <c r="AN390" s="111"/>
      <c r="AO390" s="42"/>
      <c r="AP390" s="42"/>
      <c r="AQ390" s="115"/>
      <c r="AR390" s="75"/>
      <c r="AS390" s="40"/>
      <c r="AW390" s="49"/>
      <c r="AX390" s="49"/>
      <c r="AY390" s="49"/>
      <c r="AZ390" s="49"/>
      <c r="BA390" s="49"/>
      <c r="BB390" s="49"/>
      <c r="BC390" s="49"/>
      <c r="BD390" s="49"/>
      <c r="BE390" s="49"/>
    </row>
    <row r="391" spans="1:57" ht="26" hidden="1" x14ac:dyDescent="0.35">
      <c r="A391" s="123" t="s">
        <v>2142</v>
      </c>
      <c r="B391" s="123" t="s">
        <v>2441</v>
      </c>
      <c r="C391" s="124" t="s">
        <v>2476</v>
      </c>
      <c r="D391" s="124" t="s">
        <v>8</v>
      </c>
      <c r="E391" s="124">
        <v>100</v>
      </c>
      <c r="F391" s="124" t="s">
        <v>2477</v>
      </c>
      <c r="G391" s="85"/>
      <c r="H391" s="86">
        <v>1</v>
      </c>
      <c r="I391" s="87"/>
      <c r="J391" s="88"/>
      <c r="K391" s="89"/>
      <c r="L391" s="90" t="s">
        <v>12</v>
      </c>
      <c r="M391" s="165"/>
      <c r="N391" s="134"/>
      <c r="O391" s="45"/>
      <c r="P391" s="130"/>
      <c r="Q391" s="45"/>
      <c r="R391" s="136"/>
      <c r="S391" s="139"/>
      <c r="T391" s="136"/>
      <c r="U391" s="139" t="s">
        <v>12</v>
      </c>
      <c r="V391" s="45"/>
      <c r="W391" s="136"/>
      <c r="X391" s="134" t="s">
        <v>12</v>
      </c>
      <c r="Y391" s="166"/>
      <c r="Z391" s="126"/>
      <c r="AA391" s="130"/>
      <c r="AB391" s="126" t="s">
        <v>12</v>
      </c>
      <c r="AC391" s="130"/>
      <c r="AD391" s="126"/>
      <c r="AE391" s="130"/>
      <c r="AF391" s="126"/>
      <c r="AG391" s="43">
        <v>1</v>
      </c>
      <c r="AH391" s="44"/>
      <c r="AI391" s="45"/>
      <c r="AJ391" s="46"/>
      <c r="AK391" s="41"/>
      <c r="AL391" s="47"/>
      <c r="AM391" s="48"/>
      <c r="AN391" s="111"/>
      <c r="AO391" s="42"/>
      <c r="AP391" s="42"/>
      <c r="AQ391" s="115"/>
      <c r="AR391" s="75"/>
      <c r="AS391" s="40"/>
      <c r="AW391" s="49"/>
      <c r="AX391" s="49"/>
      <c r="AY391" s="49"/>
      <c r="AZ391" s="49"/>
      <c r="BA391" s="49"/>
      <c r="BB391" s="49"/>
      <c r="BC391" s="49"/>
      <c r="BD391" s="49"/>
      <c r="BE391" s="49"/>
    </row>
    <row r="392" spans="1:57" ht="39" hidden="1" x14ac:dyDescent="0.35">
      <c r="A392" s="123" t="s">
        <v>2142</v>
      </c>
      <c r="B392" s="123" t="s">
        <v>2441</v>
      </c>
      <c r="C392" s="124" t="s">
        <v>2484</v>
      </c>
      <c r="D392" s="124" t="s">
        <v>736</v>
      </c>
      <c r="E392" s="124"/>
      <c r="F392" s="124" t="s">
        <v>2485</v>
      </c>
      <c r="G392" s="85"/>
      <c r="H392" s="86"/>
      <c r="I392" s="87"/>
      <c r="J392" s="88"/>
      <c r="K392" s="89"/>
      <c r="L392" s="90"/>
      <c r="M392" s="165"/>
      <c r="N392" s="134"/>
      <c r="O392" s="45"/>
      <c r="P392" s="130"/>
      <c r="Q392" s="45"/>
      <c r="R392" s="136"/>
      <c r="S392" s="139"/>
      <c r="T392" s="136"/>
      <c r="U392" s="139"/>
      <c r="V392" s="45"/>
      <c r="W392" s="136"/>
      <c r="X392" s="134"/>
      <c r="Y392" s="166"/>
      <c r="Z392" s="126"/>
      <c r="AA392" s="130"/>
      <c r="AB392" s="126"/>
      <c r="AC392" s="130"/>
      <c r="AD392" s="126"/>
      <c r="AE392" s="130"/>
      <c r="AF392" s="126"/>
      <c r="AG392" s="43"/>
      <c r="AH392" s="44"/>
      <c r="AI392" s="45"/>
      <c r="AJ392" s="46"/>
      <c r="AK392" s="41"/>
      <c r="AL392" s="47"/>
      <c r="AM392" s="48"/>
      <c r="AN392" s="111"/>
      <c r="AO392" s="42"/>
      <c r="AP392" s="42"/>
      <c r="AQ392" s="115"/>
      <c r="AR392" s="75">
        <v>1</v>
      </c>
      <c r="AS392" s="40"/>
      <c r="AW392" s="49"/>
      <c r="AX392" s="49"/>
      <c r="AY392" s="49"/>
      <c r="AZ392" s="49"/>
      <c r="BA392" s="49"/>
      <c r="BB392" s="49"/>
      <c r="BC392" s="49"/>
      <c r="BD392" s="49"/>
      <c r="BE392" s="49"/>
    </row>
    <row r="393" spans="1:57" ht="26" hidden="1" x14ac:dyDescent="0.35">
      <c r="A393" s="123" t="s">
        <v>2142</v>
      </c>
      <c r="B393" s="123" t="s">
        <v>2441</v>
      </c>
      <c r="C393" s="124" t="s">
        <v>2479</v>
      </c>
      <c r="D393" s="124" t="s">
        <v>131</v>
      </c>
      <c r="E393" s="124">
        <v>1000</v>
      </c>
      <c r="F393" s="124" t="s">
        <v>569</v>
      </c>
      <c r="G393" s="85">
        <v>2</v>
      </c>
      <c r="H393" s="86"/>
      <c r="I393" s="87"/>
      <c r="J393" s="88"/>
      <c r="K393" s="89"/>
      <c r="L393" s="90"/>
      <c r="M393" s="165"/>
      <c r="N393" s="134"/>
      <c r="O393" s="45"/>
      <c r="P393" s="130"/>
      <c r="Q393" s="45"/>
      <c r="R393" s="136"/>
      <c r="S393" s="139"/>
      <c r="T393" s="136"/>
      <c r="U393" s="139"/>
      <c r="V393" s="45"/>
      <c r="W393" s="136"/>
      <c r="X393" s="134"/>
      <c r="Y393" s="166"/>
      <c r="Z393" s="126"/>
      <c r="AA393" s="130"/>
      <c r="AB393" s="126"/>
      <c r="AC393" s="130"/>
      <c r="AD393" s="126"/>
      <c r="AE393" s="130"/>
      <c r="AF393" s="126"/>
      <c r="AG393" s="43">
        <v>1</v>
      </c>
      <c r="AH393" s="44"/>
      <c r="AI393" s="45"/>
      <c r="AJ393" s="46"/>
      <c r="AK393" s="41"/>
      <c r="AL393" s="47"/>
      <c r="AM393" s="48"/>
      <c r="AN393" s="111"/>
      <c r="AO393" s="42"/>
      <c r="AP393" s="42"/>
      <c r="AQ393" s="115"/>
      <c r="AR393" s="75"/>
      <c r="AS393" s="40"/>
      <c r="AW393" s="49"/>
      <c r="AX393" s="49"/>
      <c r="AY393" s="49"/>
      <c r="AZ393" s="49"/>
      <c r="BA393" s="49"/>
      <c r="BB393" s="49"/>
      <c r="BC393" s="49"/>
      <c r="BD393" s="49"/>
      <c r="BE393" s="49"/>
    </row>
    <row r="394" spans="1:57" ht="26" hidden="1" x14ac:dyDescent="0.35">
      <c r="A394" s="123" t="s">
        <v>2142</v>
      </c>
      <c r="B394" s="123" t="s">
        <v>2441</v>
      </c>
      <c r="C394" s="124" t="s">
        <v>803</v>
      </c>
      <c r="D394" s="124" t="s">
        <v>131</v>
      </c>
      <c r="E394" s="124">
        <v>500</v>
      </c>
      <c r="F394" s="124" t="s">
        <v>804</v>
      </c>
      <c r="G394" s="85"/>
      <c r="H394" s="86"/>
      <c r="I394" s="87"/>
      <c r="J394" s="88"/>
      <c r="K394" s="89"/>
      <c r="L394" s="90"/>
      <c r="M394" s="165"/>
      <c r="N394" s="134"/>
      <c r="O394" s="45"/>
      <c r="P394" s="130"/>
      <c r="Q394" s="45"/>
      <c r="R394" s="136"/>
      <c r="S394" s="139"/>
      <c r="T394" s="136"/>
      <c r="U394" s="139"/>
      <c r="V394" s="45"/>
      <c r="W394" s="136"/>
      <c r="X394" s="134"/>
      <c r="Y394" s="166"/>
      <c r="Z394" s="126"/>
      <c r="AA394" s="130"/>
      <c r="AB394" s="126"/>
      <c r="AC394" s="130"/>
      <c r="AD394" s="126"/>
      <c r="AE394" s="130"/>
      <c r="AF394" s="126"/>
      <c r="AG394" s="43"/>
      <c r="AH394" s="44"/>
      <c r="AI394" s="45"/>
      <c r="AJ394" s="46"/>
      <c r="AK394" s="41"/>
      <c r="AL394" s="47"/>
      <c r="AM394" s="48">
        <v>1</v>
      </c>
      <c r="AN394" s="111"/>
      <c r="AO394" s="42"/>
      <c r="AP394" s="42"/>
      <c r="AQ394" s="115"/>
      <c r="AR394" s="75"/>
      <c r="AS394" s="40"/>
      <c r="AW394" s="49"/>
      <c r="AX394" s="49"/>
      <c r="AY394" s="49"/>
      <c r="AZ394" s="49"/>
      <c r="BA394" s="49"/>
      <c r="BB394" s="49"/>
      <c r="BC394" s="49"/>
      <c r="BD394" s="49"/>
      <c r="BE394" s="49"/>
    </row>
    <row r="395" spans="1:57" ht="19" hidden="1" x14ac:dyDescent="0.35">
      <c r="A395" s="123" t="s">
        <v>2142</v>
      </c>
      <c r="B395" s="123" t="s">
        <v>2441</v>
      </c>
      <c r="C395" s="124" t="s">
        <v>2458</v>
      </c>
      <c r="D395" s="124" t="s">
        <v>131</v>
      </c>
      <c r="E395" s="124">
        <v>1400</v>
      </c>
      <c r="F395" s="124" t="s">
        <v>2457</v>
      </c>
      <c r="G395" s="85"/>
      <c r="H395" s="86"/>
      <c r="I395" s="87"/>
      <c r="J395" s="88"/>
      <c r="K395" s="89"/>
      <c r="L395" s="90"/>
      <c r="M395" s="165"/>
      <c r="N395" s="134"/>
      <c r="O395" s="45"/>
      <c r="P395" s="130"/>
      <c r="Q395" s="45"/>
      <c r="R395" s="136"/>
      <c r="S395" s="139"/>
      <c r="T395" s="136"/>
      <c r="U395" s="139"/>
      <c r="V395" s="45"/>
      <c r="W395" s="136"/>
      <c r="X395" s="134"/>
      <c r="Y395" s="166"/>
      <c r="Z395" s="126"/>
      <c r="AA395" s="130"/>
      <c r="AB395" s="126"/>
      <c r="AC395" s="130" t="s">
        <v>12</v>
      </c>
      <c r="AD395" s="126"/>
      <c r="AE395" s="130"/>
      <c r="AF395" s="126"/>
      <c r="AG395" s="43"/>
      <c r="AH395" s="44"/>
      <c r="AI395" s="45"/>
      <c r="AJ395" s="46"/>
      <c r="AK395" s="41"/>
      <c r="AL395" s="47">
        <v>1</v>
      </c>
      <c r="AM395" s="48"/>
      <c r="AN395" s="111"/>
      <c r="AO395" s="42"/>
      <c r="AP395" s="42"/>
      <c r="AQ395" s="115"/>
      <c r="AR395" s="75"/>
      <c r="AS395" s="40"/>
      <c r="AW395" s="49"/>
      <c r="AX395" s="49"/>
      <c r="AY395" s="49"/>
      <c r="AZ395" s="49"/>
      <c r="BA395" s="49"/>
      <c r="BB395" s="49"/>
      <c r="BC395" s="49"/>
      <c r="BD395" s="49"/>
      <c r="BE395" s="49"/>
    </row>
    <row r="396" spans="1:57" ht="26" hidden="1" x14ac:dyDescent="0.35">
      <c r="A396" s="123" t="s">
        <v>2142</v>
      </c>
      <c r="B396" s="123" t="s">
        <v>2441</v>
      </c>
      <c r="C396" s="124" t="s">
        <v>2463</v>
      </c>
      <c r="D396" s="124" t="s">
        <v>131</v>
      </c>
      <c r="E396" s="124">
        <v>1000</v>
      </c>
      <c r="F396" s="124" t="s">
        <v>569</v>
      </c>
      <c r="G396" s="85">
        <v>1</v>
      </c>
      <c r="H396" s="86"/>
      <c r="I396" s="87">
        <v>1</v>
      </c>
      <c r="J396" s="88"/>
      <c r="K396" s="89"/>
      <c r="L396" s="90"/>
      <c r="M396" s="165"/>
      <c r="N396" s="134"/>
      <c r="O396" s="45"/>
      <c r="P396" s="130"/>
      <c r="Q396" s="45"/>
      <c r="R396" s="136"/>
      <c r="S396" s="139"/>
      <c r="T396" s="136"/>
      <c r="U396" s="139"/>
      <c r="V396" s="45"/>
      <c r="W396" s="136"/>
      <c r="X396" s="134"/>
      <c r="Y396" s="166"/>
      <c r="Z396" s="126"/>
      <c r="AA396" s="130"/>
      <c r="AB396" s="126"/>
      <c r="AC396" s="130"/>
      <c r="AD396" s="126"/>
      <c r="AE396" s="130"/>
      <c r="AF396" s="126"/>
      <c r="AG396" s="43"/>
      <c r="AH396" s="44">
        <v>1</v>
      </c>
      <c r="AI396" s="45"/>
      <c r="AJ396" s="46"/>
      <c r="AK396" s="41"/>
      <c r="AL396" s="47"/>
      <c r="AM396" s="48"/>
      <c r="AN396" s="111"/>
      <c r="AO396" s="42"/>
      <c r="AP396" s="42"/>
      <c r="AQ396" s="115"/>
      <c r="AR396" s="75"/>
      <c r="AS396" s="40"/>
      <c r="AW396" s="49"/>
      <c r="AX396" s="49"/>
      <c r="AY396" s="49"/>
      <c r="AZ396" s="49"/>
      <c r="BA396" s="49"/>
      <c r="BB396" s="49"/>
      <c r="BC396" s="49"/>
      <c r="BD396" s="49"/>
      <c r="BE396" s="49"/>
    </row>
    <row r="397" spans="1:57" ht="19" hidden="1" x14ac:dyDescent="0.35">
      <c r="A397" s="123" t="s">
        <v>2142</v>
      </c>
      <c r="B397" s="123" t="s">
        <v>2441</v>
      </c>
      <c r="C397" s="124" t="s">
        <v>2473</v>
      </c>
      <c r="D397" s="124" t="s">
        <v>131</v>
      </c>
      <c r="E397" s="124">
        <v>1000</v>
      </c>
      <c r="F397" s="124" t="s">
        <v>1889</v>
      </c>
      <c r="G397" s="85"/>
      <c r="H397" s="86"/>
      <c r="I397" s="87"/>
      <c r="J397" s="88"/>
      <c r="K397" s="89"/>
      <c r="L397" s="90"/>
      <c r="M397" s="165"/>
      <c r="N397" s="134"/>
      <c r="O397" s="45"/>
      <c r="P397" s="130"/>
      <c r="Q397" s="45"/>
      <c r="R397" s="136"/>
      <c r="S397" s="139"/>
      <c r="T397" s="136"/>
      <c r="U397" s="139"/>
      <c r="V397" s="45"/>
      <c r="W397" s="136"/>
      <c r="X397" s="134"/>
      <c r="Y397" s="166"/>
      <c r="Z397" s="126"/>
      <c r="AA397" s="130"/>
      <c r="AB397" s="126"/>
      <c r="AC397" s="130"/>
      <c r="AD397" s="126"/>
      <c r="AE397" s="130"/>
      <c r="AF397" s="126"/>
      <c r="AG397" s="43"/>
      <c r="AH397" s="44"/>
      <c r="AI397" s="45">
        <v>1</v>
      </c>
      <c r="AJ397" s="46"/>
      <c r="AK397" s="41"/>
      <c r="AL397" s="47"/>
      <c r="AM397" s="48"/>
      <c r="AN397" s="111"/>
      <c r="AO397" s="42"/>
      <c r="AP397" s="42"/>
      <c r="AQ397" s="115"/>
      <c r="AR397" s="75"/>
      <c r="AS397" s="40"/>
      <c r="AW397" s="49"/>
      <c r="AX397" s="49"/>
      <c r="AY397" s="49"/>
      <c r="AZ397" s="49"/>
      <c r="BA397" s="49"/>
      <c r="BB397" s="49"/>
      <c r="BC397" s="49"/>
      <c r="BD397" s="49"/>
      <c r="BE397" s="49"/>
    </row>
    <row r="398" spans="1:57" ht="26" hidden="1" x14ac:dyDescent="0.35">
      <c r="A398" s="123" t="s">
        <v>2142</v>
      </c>
      <c r="B398" s="123" t="s">
        <v>2441</v>
      </c>
      <c r="C398" s="124" t="s">
        <v>2452</v>
      </c>
      <c r="D398" s="124" t="s">
        <v>131</v>
      </c>
      <c r="E398" s="124">
        <v>1000</v>
      </c>
      <c r="F398" s="124" t="s">
        <v>1836</v>
      </c>
      <c r="G398" s="85"/>
      <c r="H398" s="86"/>
      <c r="I398" s="87"/>
      <c r="J398" s="88"/>
      <c r="K398" s="89"/>
      <c r="L398" s="90"/>
      <c r="M398" s="165"/>
      <c r="N398" s="134"/>
      <c r="O398" s="45"/>
      <c r="P398" s="130"/>
      <c r="Q398" s="45"/>
      <c r="R398" s="136"/>
      <c r="S398" s="139"/>
      <c r="T398" s="136"/>
      <c r="U398" s="139"/>
      <c r="V398" s="45"/>
      <c r="W398" s="136"/>
      <c r="X398" s="134"/>
      <c r="Y398" s="166"/>
      <c r="Z398" s="126"/>
      <c r="AA398" s="130"/>
      <c r="AB398" s="126"/>
      <c r="AC398" s="130"/>
      <c r="AD398" s="126"/>
      <c r="AE398" s="130"/>
      <c r="AF398" s="126" t="s">
        <v>12</v>
      </c>
      <c r="AG398" s="43"/>
      <c r="AH398" s="44"/>
      <c r="AI398" s="45"/>
      <c r="AJ398" s="46"/>
      <c r="AK398" s="41"/>
      <c r="AL398" s="47"/>
      <c r="AM398" s="48"/>
      <c r="AN398" s="111">
        <v>1</v>
      </c>
      <c r="AO398" s="42"/>
      <c r="AP398" s="42"/>
      <c r="AQ398" s="115"/>
      <c r="AR398" s="75"/>
      <c r="AS398" s="40"/>
      <c r="AW398" s="49"/>
      <c r="AX398" s="49"/>
      <c r="AY398" s="49"/>
      <c r="AZ398" s="49"/>
      <c r="BA398" s="49"/>
      <c r="BB398" s="49"/>
      <c r="BC398" s="49"/>
      <c r="BD398" s="49"/>
      <c r="BE398" s="49"/>
    </row>
    <row r="399" spans="1:57" ht="39" hidden="1" x14ac:dyDescent="0.35">
      <c r="A399" s="123" t="s">
        <v>2142</v>
      </c>
      <c r="B399" s="123" t="s">
        <v>2441</v>
      </c>
      <c r="C399" s="124" t="s">
        <v>2480</v>
      </c>
      <c r="D399" s="124" t="s">
        <v>136</v>
      </c>
      <c r="E399" s="124"/>
      <c r="F399" s="124" t="s">
        <v>2482</v>
      </c>
      <c r="G399" s="85"/>
      <c r="H399" s="86">
        <v>1</v>
      </c>
      <c r="I399" s="87">
        <v>2</v>
      </c>
      <c r="J399" s="88"/>
      <c r="K399" s="89"/>
      <c r="L399" s="90"/>
      <c r="M399" s="165"/>
      <c r="N399" s="134"/>
      <c r="O399" s="45"/>
      <c r="P399" s="130" t="s">
        <v>12</v>
      </c>
      <c r="Q399" s="45"/>
      <c r="R399" s="136" t="s">
        <v>12</v>
      </c>
      <c r="S399" s="139"/>
      <c r="T399" s="136"/>
      <c r="U399" s="139"/>
      <c r="V399" s="45"/>
      <c r="W399" s="136"/>
      <c r="X399" s="134"/>
      <c r="Y399" s="166"/>
      <c r="Z399" s="126"/>
      <c r="AA399" s="130"/>
      <c r="AB399" s="126"/>
      <c r="AC399" s="130"/>
      <c r="AD399" s="126"/>
      <c r="AE399" s="130"/>
      <c r="AF399" s="126"/>
      <c r="AG399" s="43"/>
      <c r="AH399" s="44"/>
      <c r="AI399" s="45"/>
      <c r="AJ399" s="46"/>
      <c r="AK399" s="41"/>
      <c r="AL399" s="47"/>
      <c r="AM399" s="48"/>
      <c r="AN399" s="111"/>
      <c r="AO399" s="42"/>
      <c r="AP399" s="42"/>
      <c r="AQ399" s="115"/>
      <c r="AR399" s="75">
        <v>1</v>
      </c>
      <c r="AS399" s="40"/>
      <c r="AW399" s="49"/>
      <c r="AX399" s="49"/>
      <c r="AY399" s="49"/>
      <c r="AZ399" s="49"/>
      <c r="BA399" s="49"/>
      <c r="BB399" s="49"/>
      <c r="BC399" s="49"/>
      <c r="BD399" s="49"/>
      <c r="BE399" s="49"/>
    </row>
    <row r="400" spans="1:57" ht="26" hidden="1" x14ac:dyDescent="0.35">
      <c r="A400" s="123" t="s">
        <v>2142</v>
      </c>
      <c r="B400" s="123" t="s">
        <v>2441</v>
      </c>
      <c r="C400" s="124" t="s">
        <v>2481</v>
      </c>
      <c r="D400" s="124" t="s">
        <v>136</v>
      </c>
      <c r="E400" s="124"/>
      <c r="F400" s="124" t="s">
        <v>2483</v>
      </c>
      <c r="G400" s="85">
        <v>1</v>
      </c>
      <c r="H400" s="86">
        <v>1</v>
      </c>
      <c r="I400" s="87">
        <v>1</v>
      </c>
      <c r="J400" s="88" t="s">
        <v>12</v>
      </c>
      <c r="K400" s="89"/>
      <c r="L400" s="90"/>
      <c r="M400" s="165"/>
      <c r="N400" s="134"/>
      <c r="O400" s="45"/>
      <c r="P400" s="130"/>
      <c r="Q400" s="45"/>
      <c r="R400" s="136"/>
      <c r="S400" s="139"/>
      <c r="T400" s="136"/>
      <c r="U400" s="139" t="s">
        <v>12</v>
      </c>
      <c r="V400" s="45" t="s">
        <v>12</v>
      </c>
      <c r="W400" s="136"/>
      <c r="X400" s="134"/>
      <c r="Y400" s="166"/>
      <c r="Z400" s="126"/>
      <c r="AA400" s="130"/>
      <c r="AB400" s="126"/>
      <c r="AC400" s="130"/>
      <c r="AD400" s="126"/>
      <c r="AE400" s="130"/>
      <c r="AF400" s="126"/>
      <c r="AG400" s="43"/>
      <c r="AH400" s="44"/>
      <c r="AI400" s="45"/>
      <c r="AJ400" s="46"/>
      <c r="AK400" s="41"/>
      <c r="AL400" s="47"/>
      <c r="AM400" s="48"/>
      <c r="AN400" s="111"/>
      <c r="AO400" s="42"/>
      <c r="AP400" s="42"/>
      <c r="AQ400" s="115"/>
      <c r="AR400" s="75">
        <v>1</v>
      </c>
      <c r="AS400" s="40"/>
      <c r="AW400" s="49"/>
      <c r="AX400" s="49"/>
      <c r="AY400" s="49"/>
      <c r="AZ400" s="49"/>
      <c r="BA400" s="49"/>
      <c r="BB400" s="49"/>
      <c r="BC400" s="49"/>
      <c r="BD400" s="49"/>
      <c r="BE400" s="49"/>
    </row>
    <row r="401" spans="1:57" ht="39" hidden="1" x14ac:dyDescent="0.35">
      <c r="A401" s="123" t="s">
        <v>2142</v>
      </c>
      <c r="B401" s="123" t="s">
        <v>2441</v>
      </c>
      <c r="C401" s="124" t="s">
        <v>2467</v>
      </c>
      <c r="D401" s="124" t="s">
        <v>5</v>
      </c>
      <c r="E401" s="124">
        <v>800</v>
      </c>
      <c r="F401" s="124" t="s">
        <v>2468</v>
      </c>
      <c r="G401" s="85"/>
      <c r="H401" s="86"/>
      <c r="I401" s="87"/>
      <c r="J401" s="88"/>
      <c r="K401" s="89"/>
      <c r="L401" s="90"/>
      <c r="M401" s="165"/>
      <c r="N401" s="134"/>
      <c r="O401" s="45"/>
      <c r="P401" s="130"/>
      <c r="Q401" s="45"/>
      <c r="R401" s="136"/>
      <c r="S401" s="139"/>
      <c r="T401" s="136"/>
      <c r="U401" s="139"/>
      <c r="V401" s="45"/>
      <c r="W401" s="136"/>
      <c r="X401" s="134"/>
      <c r="Y401" s="166"/>
      <c r="Z401" s="126"/>
      <c r="AA401" s="130"/>
      <c r="AB401" s="126"/>
      <c r="AC401" s="130"/>
      <c r="AD401" s="126"/>
      <c r="AE401" s="130"/>
      <c r="AF401" s="126"/>
      <c r="AG401" s="43"/>
      <c r="AH401" s="44"/>
      <c r="AI401" s="45"/>
      <c r="AJ401" s="46">
        <v>1</v>
      </c>
      <c r="AK401" s="41"/>
      <c r="AL401" s="47"/>
      <c r="AM401" s="48"/>
      <c r="AN401" s="111"/>
      <c r="AO401" s="42"/>
      <c r="AP401" s="42"/>
      <c r="AQ401" s="115"/>
      <c r="AR401" s="75"/>
      <c r="AS401" s="40"/>
      <c r="AW401" s="49"/>
      <c r="AX401" s="49"/>
      <c r="AY401" s="49"/>
      <c r="AZ401" s="49"/>
      <c r="BA401" s="49"/>
      <c r="BB401" s="49"/>
      <c r="BC401" s="49"/>
      <c r="BD401" s="49"/>
      <c r="BE401" s="49"/>
    </row>
    <row r="402" spans="1:57" ht="39" hidden="1" x14ac:dyDescent="0.35">
      <c r="A402" s="123" t="s">
        <v>2142</v>
      </c>
      <c r="B402" s="123" t="s">
        <v>2441</v>
      </c>
      <c r="C402" s="124" t="s">
        <v>2486</v>
      </c>
      <c r="D402" s="124" t="s">
        <v>5</v>
      </c>
      <c r="E402" s="124"/>
      <c r="F402" s="124" t="s">
        <v>2468</v>
      </c>
      <c r="G402" s="85"/>
      <c r="H402" s="86"/>
      <c r="I402" s="87"/>
      <c r="J402" s="88"/>
      <c r="K402" s="89"/>
      <c r="L402" s="90"/>
      <c r="M402" s="165"/>
      <c r="N402" s="134"/>
      <c r="O402" s="45"/>
      <c r="P402" s="130"/>
      <c r="Q402" s="45"/>
      <c r="R402" s="136"/>
      <c r="S402" s="139"/>
      <c r="T402" s="136"/>
      <c r="U402" s="139"/>
      <c r="V402" s="45"/>
      <c r="W402" s="136"/>
      <c r="X402" s="134"/>
      <c r="Y402" s="166"/>
      <c r="Z402" s="126"/>
      <c r="AA402" s="130"/>
      <c r="AB402" s="126"/>
      <c r="AC402" s="130"/>
      <c r="AD402" s="126"/>
      <c r="AE402" s="130"/>
      <c r="AF402" s="126"/>
      <c r="AG402" s="43"/>
      <c r="AH402" s="44"/>
      <c r="AI402" s="45"/>
      <c r="AJ402" s="46"/>
      <c r="AK402" s="41"/>
      <c r="AL402" s="47"/>
      <c r="AM402" s="48"/>
      <c r="AN402" s="111"/>
      <c r="AO402" s="42"/>
      <c r="AP402" s="42"/>
      <c r="AQ402" s="115"/>
      <c r="AR402" s="75">
        <v>1</v>
      </c>
      <c r="AS402" s="40"/>
      <c r="AW402" s="49"/>
      <c r="AX402" s="49"/>
      <c r="AY402" s="49"/>
      <c r="AZ402" s="49"/>
      <c r="BA402" s="49"/>
      <c r="BB402" s="49"/>
      <c r="BC402" s="49"/>
      <c r="BD402" s="49"/>
      <c r="BE402" s="49"/>
    </row>
    <row r="403" spans="1:57" ht="26" hidden="1" x14ac:dyDescent="0.35">
      <c r="A403" s="123" t="s">
        <v>2142</v>
      </c>
      <c r="B403" s="123" t="s">
        <v>2441</v>
      </c>
      <c r="C403" s="124" t="s">
        <v>2487</v>
      </c>
      <c r="D403" s="124" t="s">
        <v>5</v>
      </c>
      <c r="E403" s="124"/>
      <c r="F403" s="124" t="s">
        <v>1836</v>
      </c>
      <c r="G403" s="85"/>
      <c r="H403" s="86"/>
      <c r="I403" s="87"/>
      <c r="J403" s="88"/>
      <c r="K403" s="89"/>
      <c r="L403" s="90"/>
      <c r="M403" s="165"/>
      <c r="N403" s="134"/>
      <c r="O403" s="45"/>
      <c r="P403" s="130"/>
      <c r="Q403" s="45"/>
      <c r="R403" s="136"/>
      <c r="S403" s="139"/>
      <c r="T403" s="136"/>
      <c r="U403" s="139"/>
      <c r="V403" s="45" t="s">
        <v>12</v>
      </c>
      <c r="W403" s="136"/>
      <c r="X403" s="134"/>
      <c r="Y403" s="166"/>
      <c r="Z403" s="126"/>
      <c r="AA403" s="130"/>
      <c r="AB403" s="126"/>
      <c r="AC403" s="130"/>
      <c r="AD403" s="126"/>
      <c r="AE403" s="130"/>
      <c r="AF403" s="126"/>
      <c r="AG403" s="43"/>
      <c r="AH403" s="44"/>
      <c r="AI403" s="45"/>
      <c r="AJ403" s="46"/>
      <c r="AK403" s="41"/>
      <c r="AL403" s="47"/>
      <c r="AM403" s="48"/>
      <c r="AN403" s="111"/>
      <c r="AO403" s="42"/>
      <c r="AP403" s="42"/>
      <c r="AQ403" s="115"/>
      <c r="AR403" s="75">
        <v>1</v>
      </c>
      <c r="AS403" s="40"/>
      <c r="AW403" s="49"/>
      <c r="AX403" s="49"/>
      <c r="AY403" s="49"/>
      <c r="AZ403" s="49"/>
      <c r="BA403" s="49"/>
      <c r="BB403" s="49"/>
      <c r="BC403" s="49"/>
      <c r="BD403" s="49"/>
      <c r="BE403" s="49"/>
    </row>
    <row r="404" spans="1:57" hidden="1" x14ac:dyDescent="0.35">
      <c r="A404" s="69"/>
      <c r="B404" s="69"/>
      <c r="C404" s="40"/>
      <c r="D404" s="40"/>
      <c r="E404" s="40"/>
      <c r="F404" s="40"/>
      <c r="G404" s="85"/>
      <c r="H404" s="86"/>
      <c r="I404" s="87"/>
      <c r="J404" s="88"/>
      <c r="K404" s="89"/>
      <c r="L404" s="90"/>
      <c r="M404" s="165"/>
      <c r="N404" s="134"/>
      <c r="O404" s="45"/>
      <c r="P404" s="130"/>
      <c r="Q404" s="45"/>
      <c r="R404" s="136"/>
      <c r="S404" s="139"/>
      <c r="T404" s="136"/>
      <c r="U404" s="139"/>
      <c r="V404" s="45"/>
      <c r="W404" s="136"/>
      <c r="X404" s="134"/>
      <c r="Y404" s="166"/>
      <c r="Z404" s="126"/>
      <c r="AA404" s="130"/>
      <c r="AB404" s="126"/>
      <c r="AC404" s="130"/>
      <c r="AD404" s="126"/>
      <c r="AE404" s="130"/>
      <c r="AF404" s="126"/>
      <c r="AG404" s="43"/>
      <c r="AH404" s="44"/>
      <c r="AI404" s="45"/>
      <c r="AJ404" s="46"/>
      <c r="AK404" s="41"/>
      <c r="AL404" s="47"/>
      <c r="AM404" s="48"/>
      <c r="AN404" s="111"/>
      <c r="AO404" s="42"/>
      <c r="AP404" s="42"/>
      <c r="AQ404" s="115"/>
      <c r="AR404" s="75"/>
      <c r="AS404" s="40"/>
      <c r="AW404" s="49"/>
      <c r="AX404" s="49"/>
      <c r="AY404" s="49"/>
      <c r="AZ404" s="49"/>
      <c r="BA404" s="49"/>
      <c r="BB404" s="49"/>
      <c r="BC404" s="49"/>
      <c r="BD404" s="49"/>
      <c r="BE404" s="49"/>
    </row>
    <row r="405" spans="1:57" hidden="1" x14ac:dyDescent="0.35">
      <c r="A405" s="69"/>
      <c r="B405" s="69"/>
      <c r="C405" s="40"/>
      <c r="D405" s="40"/>
      <c r="E405" s="40"/>
      <c r="F405" s="40"/>
      <c r="G405" s="85"/>
      <c r="H405" s="86"/>
      <c r="I405" s="87"/>
      <c r="J405" s="88"/>
      <c r="K405" s="89"/>
      <c r="L405" s="90"/>
      <c r="M405" s="165"/>
      <c r="N405" s="134"/>
      <c r="O405" s="45"/>
      <c r="P405" s="130"/>
      <c r="Q405" s="45"/>
      <c r="R405" s="136"/>
      <c r="S405" s="139"/>
      <c r="T405" s="136"/>
      <c r="U405" s="139"/>
      <c r="V405" s="45"/>
      <c r="W405" s="136"/>
      <c r="X405" s="134"/>
      <c r="Y405" s="166"/>
      <c r="Z405" s="126"/>
      <c r="AA405" s="130"/>
      <c r="AB405" s="126"/>
      <c r="AC405" s="130"/>
      <c r="AD405" s="126"/>
      <c r="AE405" s="130"/>
      <c r="AF405" s="126"/>
      <c r="AG405" s="43"/>
      <c r="AH405" s="44"/>
      <c r="AI405" s="45"/>
      <c r="AJ405" s="46"/>
      <c r="AK405" s="41"/>
      <c r="AL405" s="47"/>
      <c r="AM405" s="48"/>
      <c r="AN405" s="111"/>
      <c r="AO405" s="42"/>
      <c r="AP405" s="42"/>
      <c r="AQ405" s="115"/>
      <c r="AR405" s="75"/>
      <c r="AS405" s="40"/>
      <c r="AW405" s="49"/>
      <c r="AX405" s="49"/>
      <c r="AY405" s="49"/>
      <c r="AZ405" s="49"/>
      <c r="BA405" s="49"/>
      <c r="BB405" s="49"/>
      <c r="BC405" s="49"/>
      <c r="BD405" s="49"/>
      <c r="BE405" s="49"/>
    </row>
    <row r="406" spans="1:57" hidden="1" x14ac:dyDescent="0.35">
      <c r="A406" s="69"/>
      <c r="B406" s="69"/>
      <c r="C406" s="40"/>
      <c r="D406" s="40"/>
      <c r="E406" s="40"/>
      <c r="F406" s="40"/>
      <c r="G406" s="85"/>
      <c r="H406" s="86"/>
      <c r="I406" s="87"/>
      <c r="J406" s="88"/>
      <c r="K406" s="89"/>
      <c r="L406" s="90"/>
      <c r="M406" s="165"/>
      <c r="N406" s="134"/>
      <c r="O406" s="45"/>
      <c r="P406" s="130"/>
      <c r="Q406" s="45"/>
      <c r="R406" s="136"/>
      <c r="S406" s="139"/>
      <c r="T406" s="136"/>
      <c r="U406" s="139"/>
      <c r="V406" s="45"/>
      <c r="W406" s="136"/>
      <c r="X406" s="134"/>
      <c r="Y406" s="166"/>
      <c r="Z406" s="126"/>
      <c r="AA406" s="130"/>
      <c r="AB406" s="126"/>
      <c r="AC406" s="130"/>
      <c r="AD406" s="126"/>
      <c r="AE406" s="130"/>
      <c r="AF406" s="126"/>
      <c r="AG406" s="43"/>
      <c r="AH406" s="44"/>
      <c r="AI406" s="45"/>
      <c r="AJ406" s="46"/>
      <c r="AK406" s="41"/>
      <c r="AL406" s="47"/>
      <c r="AM406" s="48"/>
      <c r="AN406" s="111"/>
      <c r="AO406" s="42"/>
      <c r="AP406" s="42"/>
      <c r="AQ406" s="115"/>
      <c r="AR406" s="75"/>
      <c r="AS406" s="40"/>
      <c r="AW406" s="49"/>
      <c r="AX406" s="49"/>
      <c r="AY406" s="49"/>
      <c r="AZ406" s="49"/>
      <c r="BA406" s="49"/>
      <c r="BB406" s="49"/>
      <c r="BC406" s="49"/>
      <c r="BD406" s="49"/>
      <c r="BE406" s="49"/>
    </row>
    <row r="407" spans="1:57" hidden="1" x14ac:dyDescent="0.35">
      <c r="A407" s="69"/>
      <c r="B407" s="69"/>
      <c r="C407" s="40"/>
      <c r="D407" s="40"/>
      <c r="E407" s="40"/>
      <c r="F407" s="40"/>
      <c r="G407" s="85"/>
      <c r="H407" s="86"/>
      <c r="I407" s="87"/>
      <c r="J407" s="88"/>
      <c r="K407" s="89"/>
      <c r="L407" s="90"/>
      <c r="M407" s="165"/>
      <c r="N407" s="134"/>
      <c r="O407" s="45"/>
      <c r="P407" s="130"/>
      <c r="Q407" s="45"/>
      <c r="R407" s="136"/>
      <c r="S407" s="139"/>
      <c r="T407" s="136"/>
      <c r="U407" s="139"/>
      <c r="V407" s="45"/>
      <c r="W407" s="136"/>
      <c r="X407" s="134"/>
      <c r="Y407" s="166"/>
      <c r="Z407" s="126"/>
      <c r="AA407" s="130"/>
      <c r="AB407" s="126"/>
      <c r="AC407" s="130"/>
      <c r="AD407" s="126"/>
      <c r="AE407" s="130"/>
      <c r="AF407" s="126"/>
      <c r="AG407" s="43"/>
      <c r="AH407" s="44"/>
      <c r="AI407" s="45"/>
      <c r="AJ407" s="46"/>
      <c r="AK407" s="41"/>
      <c r="AL407" s="47"/>
      <c r="AM407" s="48"/>
      <c r="AN407" s="111"/>
      <c r="AO407" s="42"/>
      <c r="AP407" s="42"/>
      <c r="AQ407" s="115"/>
      <c r="AR407" s="75"/>
      <c r="AS407" s="40"/>
      <c r="AW407" s="49"/>
      <c r="AX407" s="49"/>
      <c r="AY407" s="49"/>
      <c r="AZ407" s="49"/>
      <c r="BA407" s="49"/>
      <c r="BB407" s="49"/>
      <c r="BC407" s="49"/>
      <c r="BD407" s="49"/>
      <c r="BE407" s="49"/>
    </row>
    <row r="408" spans="1:57" hidden="1" x14ac:dyDescent="0.35">
      <c r="A408" s="69"/>
      <c r="B408" s="69"/>
      <c r="C408" s="40"/>
      <c r="D408" s="40"/>
      <c r="E408" s="40"/>
      <c r="F408" s="40"/>
      <c r="G408" s="85"/>
      <c r="H408" s="86"/>
      <c r="I408" s="87"/>
      <c r="J408" s="88"/>
      <c r="K408" s="89"/>
      <c r="L408" s="90"/>
      <c r="M408" s="165"/>
      <c r="N408" s="134"/>
      <c r="O408" s="45"/>
      <c r="P408" s="130"/>
      <c r="Q408" s="45"/>
      <c r="R408" s="136"/>
      <c r="S408" s="139"/>
      <c r="T408" s="136"/>
      <c r="U408" s="139"/>
      <c r="V408" s="45"/>
      <c r="W408" s="136"/>
      <c r="X408" s="134"/>
      <c r="Y408" s="166"/>
      <c r="Z408" s="126"/>
      <c r="AA408" s="130"/>
      <c r="AB408" s="126"/>
      <c r="AC408" s="130"/>
      <c r="AD408" s="126"/>
      <c r="AE408" s="130"/>
      <c r="AF408" s="126"/>
      <c r="AG408" s="43"/>
      <c r="AH408" s="44"/>
      <c r="AI408" s="45"/>
      <c r="AJ408" s="46"/>
      <c r="AK408" s="41"/>
      <c r="AL408" s="47"/>
      <c r="AM408" s="48"/>
      <c r="AN408" s="111"/>
      <c r="AO408" s="42"/>
      <c r="AP408" s="42"/>
      <c r="AQ408" s="115"/>
      <c r="AR408" s="75"/>
      <c r="AS408" s="40"/>
      <c r="AW408" s="49"/>
      <c r="AX408" s="49"/>
      <c r="AY408" s="49"/>
      <c r="AZ408" s="49"/>
      <c r="BA408" s="49"/>
      <c r="BB408" s="49"/>
      <c r="BC408" s="49"/>
      <c r="BD408" s="49"/>
      <c r="BE408" s="49"/>
    </row>
    <row r="409" spans="1:57" hidden="1" x14ac:dyDescent="0.35">
      <c r="A409" s="69"/>
      <c r="B409" s="69"/>
      <c r="C409" s="40"/>
      <c r="D409" s="40"/>
      <c r="E409" s="40"/>
      <c r="F409" s="40"/>
      <c r="G409" s="85"/>
      <c r="H409" s="86"/>
      <c r="I409" s="87"/>
      <c r="J409" s="88"/>
      <c r="K409" s="89"/>
      <c r="L409" s="90"/>
      <c r="M409" s="165"/>
      <c r="N409" s="134"/>
      <c r="O409" s="45"/>
      <c r="P409" s="130"/>
      <c r="Q409" s="45"/>
      <c r="R409" s="136"/>
      <c r="S409" s="139"/>
      <c r="T409" s="136"/>
      <c r="U409" s="139"/>
      <c r="V409" s="45"/>
      <c r="W409" s="136"/>
      <c r="X409" s="134"/>
      <c r="Y409" s="166"/>
      <c r="Z409" s="126"/>
      <c r="AA409" s="130"/>
      <c r="AB409" s="126"/>
      <c r="AC409" s="130"/>
      <c r="AD409" s="126"/>
      <c r="AE409" s="130"/>
      <c r="AF409" s="126"/>
      <c r="AG409" s="43"/>
      <c r="AH409" s="44"/>
      <c r="AI409" s="45"/>
      <c r="AJ409" s="46"/>
      <c r="AK409" s="41"/>
      <c r="AL409" s="47"/>
      <c r="AM409" s="48"/>
      <c r="AN409" s="111"/>
      <c r="AO409" s="42"/>
      <c r="AP409" s="42"/>
      <c r="AQ409" s="115"/>
      <c r="AR409" s="75"/>
      <c r="AS409" s="40"/>
      <c r="AW409" s="49"/>
      <c r="AX409" s="49"/>
      <c r="AY409" s="49"/>
      <c r="AZ409" s="49"/>
      <c r="BA409" s="49"/>
      <c r="BB409" s="49"/>
      <c r="BC409" s="49"/>
      <c r="BD409" s="49"/>
      <c r="BE409" s="49"/>
    </row>
    <row r="410" spans="1:57" hidden="1" x14ac:dyDescent="0.35">
      <c r="A410" s="69"/>
      <c r="B410" s="69"/>
      <c r="C410" s="40"/>
      <c r="D410" s="40"/>
      <c r="E410" s="40"/>
      <c r="F410" s="40"/>
      <c r="G410" s="85"/>
      <c r="H410" s="86"/>
      <c r="I410" s="87"/>
      <c r="J410" s="88"/>
      <c r="K410" s="89"/>
      <c r="L410" s="90"/>
      <c r="M410" s="165"/>
      <c r="N410" s="134"/>
      <c r="O410" s="45"/>
      <c r="P410" s="130"/>
      <c r="Q410" s="45"/>
      <c r="R410" s="136"/>
      <c r="S410" s="139"/>
      <c r="T410" s="136"/>
      <c r="U410" s="139"/>
      <c r="V410" s="45"/>
      <c r="W410" s="136"/>
      <c r="X410" s="134"/>
      <c r="Y410" s="166"/>
      <c r="Z410" s="126"/>
      <c r="AA410" s="130"/>
      <c r="AB410" s="126"/>
      <c r="AC410" s="130"/>
      <c r="AD410" s="126"/>
      <c r="AE410" s="130"/>
      <c r="AF410" s="126"/>
      <c r="AG410" s="43"/>
      <c r="AH410" s="44"/>
      <c r="AI410" s="45"/>
      <c r="AJ410" s="46"/>
      <c r="AK410" s="41"/>
      <c r="AL410" s="47"/>
      <c r="AM410" s="48"/>
      <c r="AN410" s="111"/>
      <c r="AO410" s="42"/>
      <c r="AP410" s="42"/>
      <c r="AQ410" s="115"/>
      <c r="AR410" s="75"/>
      <c r="AS410" s="40"/>
      <c r="AW410" s="49"/>
      <c r="AX410" s="49"/>
      <c r="AY410" s="49"/>
      <c r="AZ410" s="49"/>
      <c r="BA410" s="49"/>
      <c r="BB410" s="49"/>
      <c r="BC410" s="49"/>
      <c r="BD410" s="49"/>
      <c r="BE410" s="49"/>
    </row>
    <row r="411" spans="1:57" hidden="1" x14ac:dyDescent="0.35">
      <c r="A411" s="69"/>
      <c r="B411" s="69"/>
      <c r="C411" s="40"/>
      <c r="D411" s="40"/>
      <c r="E411" s="40"/>
      <c r="F411" s="40"/>
      <c r="G411" s="85"/>
      <c r="H411" s="86"/>
      <c r="I411" s="87"/>
      <c r="J411" s="88"/>
      <c r="K411" s="89"/>
      <c r="L411" s="90"/>
      <c r="M411" s="165"/>
      <c r="N411" s="134"/>
      <c r="O411" s="45"/>
      <c r="P411" s="130"/>
      <c r="Q411" s="45"/>
      <c r="R411" s="136"/>
      <c r="S411" s="139"/>
      <c r="T411" s="136"/>
      <c r="U411" s="139"/>
      <c r="V411" s="45"/>
      <c r="W411" s="136"/>
      <c r="X411" s="134"/>
      <c r="Y411" s="166"/>
      <c r="Z411" s="126"/>
      <c r="AA411" s="130"/>
      <c r="AB411" s="126"/>
      <c r="AC411" s="130"/>
      <c r="AD411" s="126"/>
      <c r="AE411" s="130"/>
      <c r="AF411" s="126"/>
      <c r="AG411" s="43"/>
      <c r="AH411" s="44"/>
      <c r="AI411" s="45"/>
      <c r="AJ411" s="46"/>
      <c r="AK411" s="41"/>
      <c r="AL411" s="47"/>
      <c r="AM411" s="48"/>
      <c r="AN411" s="111"/>
      <c r="AO411" s="42"/>
      <c r="AP411" s="42"/>
      <c r="AQ411" s="115"/>
      <c r="AR411" s="75"/>
      <c r="AS411" s="40"/>
      <c r="AW411" s="49"/>
      <c r="AX411" s="49"/>
      <c r="AY411" s="49"/>
      <c r="AZ411" s="49"/>
      <c r="BA411" s="49"/>
      <c r="BB411" s="49"/>
      <c r="BC411" s="49"/>
      <c r="BD411" s="49"/>
      <c r="BE411" s="49"/>
    </row>
    <row r="412" spans="1:57" hidden="1" x14ac:dyDescent="0.35">
      <c r="A412" s="69"/>
      <c r="B412" s="69"/>
      <c r="C412" s="40"/>
      <c r="D412" s="40"/>
      <c r="E412" s="40"/>
      <c r="F412" s="40"/>
      <c r="G412" s="85"/>
      <c r="H412" s="86"/>
      <c r="I412" s="87"/>
      <c r="J412" s="88"/>
      <c r="K412" s="89"/>
      <c r="L412" s="90"/>
      <c r="M412" s="165"/>
      <c r="N412" s="134"/>
      <c r="O412" s="45"/>
      <c r="P412" s="130"/>
      <c r="Q412" s="45"/>
      <c r="R412" s="136"/>
      <c r="S412" s="139"/>
      <c r="T412" s="136"/>
      <c r="U412" s="139"/>
      <c r="V412" s="45"/>
      <c r="W412" s="136"/>
      <c r="X412" s="134"/>
      <c r="Y412" s="166"/>
      <c r="Z412" s="126"/>
      <c r="AA412" s="130"/>
      <c r="AB412" s="126"/>
      <c r="AC412" s="130"/>
      <c r="AD412" s="126"/>
      <c r="AE412" s="130"/>
      <c r="AF412" s="126"/>
      <c r="AG412" s="43"/>
      <c r="AH412" s="44"/>
      <c r="AI412" s="45"/>
      <c r="AJ412" s="46"/>
      <c r="AK412" s="41"/>
      <c r="AL412" s="47"/>
      <c r="AM412" s="48"/>
      <c r="AN412" s="111"/>
      <c r="AO412" s="42"/>
      <c r="AP412" s="42"/>
      <c r="AQ412" s="115"/>
      <c r="AR412" s="75"/>
      <c r="AS412" s="40"/>
      <c r="AW412" s="49"/>
      <c r="AX412" s="49"/>
      <c r="AY412" s="49"/>
      <c r="AZ412" s="49"/>
      <c r="BA412" s="49"/>
      <c r="BB412" s="49"/>
      <c r="BC412" s="49"/>
      <c r="BD412" s="49"/>
      <c r="BE412" s="49"/>
    </row>
    <row r="413" spans="1:57" hidden="1" x14ac:dyDescent="0.35">
      <c r="A413" s="69"/>
      <c r="B413" s="69"/>
      <c r="C413" s="40"/>
      <c r="D413" s="40"/>
      <c r="E413" s="40"/>
      <c r="F413" s="40"/>
      <c r="G413" s="85"/>
      <c r="H413" s="86"/>
      <c r="I413" s="87"/>
      <c r="J413" s="88"/>
      <c r="K413" s="89"/>
      <c r="L413" s="90"/>
      <c r="M413" s="165"/>
      <c r="N413" s="134"/>
      <c r="O413" s="45"/>
      <c r="P413" s="130"/>
      <c r="Q413" s="45"/>
      <c r="R413" s="136"/>
      <c r="S413" s="139"/>
      <c r="T413" s="136"/>
      <c r="U413" s="139"/>
      <c r="V413" s="45"/>
      <c r="W413" s="136"/>
      <c r="X413" s="134"/>
      <c r="Y413" s="166"/>
      <c r="Z413" s="126"/>
      <c r="AA413" s="130"/>
      <c r="AB413" s="126"/>
      <c r="AC413" s="130"/>
      <c r="AD413" s="126"/>
      <c r="AE413" s="130"/>
      <c r="AF413" s="126"/>
      <c r="AG413" s="43"/>
      <c r="AH413" s="44"/>
      <c r="AI413" s="45"/>
      <c r="AJ413" s="46"/>
      <c r="AK413" s="41"/>
      <c r="AL413" s="47"/>
      <c r="AM413" s="48"/>
      <c r="AN413" s="111"/>
      <c r="AO413" s="42"/>
      <c r="AP413" s="42"/>
      <c r="AQ413" s="115"/>
      <c r="AR413" s="75"/>
      <c r="AS413" s="40"/>
      <c r="AW413" s="49"/>
      <c r="AX413" s="49"/>
      <c r="AY413" s="49"/>
      <c r="AZ413" s="49"/>
      <c r="BA413" s="49"/>
      <c r="BB413" s="49"/>
      <c r="BC413" s="49"/>
      <c r="BD413" s="49"/>
      <c r="BE413" s="49"/>
    </row>
    <row r="414" spans="1:57" hidden="1" x14ac:dyDescent="0.35">
      <c r="A414" s="69"/>
      <c r="B414" s="69"/>
      <c r="C414" s="40"/>
      <c r="D414" s="40"/>
      <c r="E414" s="40"/>
      <c r="F414" s="40"/>
      <c r="G414" s="85"/>
      <c r="H414" s="86"/>
      <c r="I414" s="87"/>
      <c r="J414" s="88"/>
      <c r="K414" s="89"/>
      <c r="L414" s="90"/>
      <c r="M414" s="165"/>
      <c r="N414" s="134"/>
      <c r="O414" s="45"/>
      <c r="P414" s="130"/>
      <c r="Q414" s="45"/>
      <c r="R414" s="136"/>
      <c r="S414" s="139"/>
      <c r="T414" s="136"/>
      <c r="U414" s="139"/>
      <c r="V414" s="45"/>
      <c r="W414" s="136"/>
      <c r="X414" s="134"/>
      <c r="Y414" s="166"/>
      <c r="Z414" s="126"/>
      <c r="AA414" s="130"/>
      <c r="AB414" s="126"/>
      <c r="AC414" s="130"/>
      <c r="AD414" s="126"/>
      <c r="AE414" s="130"/>
      <c r="AF414" s="126"/>
      <c r="AG414" s="43"/>
      <c r="AH414" s="44"/>
      <c r="AI414" s="45"/>
      <c r="AJ414" s="46"/>
      <c r="AK414" s="41"/>
      <c r="AL414" s="47"/>
      <c r="AM414" s="48"/>
      <c r="AN414" s="111"/>
      <c r="AO414" s="42"/>
      <c r="AP414" s="42"/>
      <c r="AQ414" s="115"/>
      <c r="AR414" s="75"/>
      <c r="AS414" s="40"/>
      <c r="AW414" s="49"/>
      <c r="AX414" s="49"/>
      <c r="AY414" s="49"/>
      <c r="AZ414" s="49"/>
      <c r="BA414" s="49"/>
      <c r="BB414" s="49"/>
      <c r="BC414" s="49"/>
      <c r="BD414" s="49"/>
      <c r="BE414" s="49"/>
    </row>
    <row r="415" spans="1:57" x14ac:dyDescent="0.35">
      <c r="G415" s="91"/>
      <c r="H415" s="92"/>
      <c r="I415" s="93"/>
      <c r="J415" s="94"/>
      <c r="K415" s="95"/>
      <c r="L415" s="96"/>
      <c r="M415" s="149"/>
      <c r="N415" s="135"/>
      <c r="O415" s="54"/>
      <c r="P415" s="131"/>
      <c r="Q415" s="54"/>
      <c r="R415" s="137"/>
      <c r="S415" s="140"/>
      <c r="T415" s="137"/>
      <c r="U415" s="140"/>
      <c r="V415" s="54"/>
      <c r="W415" s="137"/>
      <c r="X415" s="135"/>
      <c r="Y415" s="150"/>
      <c r="Z415" s="127"/>
      <c r="AA415" s="131"/>
      <c r="AB415" s="127"/>
      <c r="AC415" s="131"/>
      <c r="AD415" s="127"/>
      <c r="AE415" s="131"/>
      <c r="AF415" s="127"/>
      <c r="AG415" s="52"/>
      <c r="AH415" s="53"/>
      <c r="AI415" s="54"/>
      <c r="AJ415" s="55"/>
      <c r="AK415" s="51"/>
      <c r="AL415" s="56"/>
      <c r="AM415" s="57"/>
      <c r="AN415" s="112"/>
      <c r="AQ415" s="116"/>
      <c r="AR415" s="76"/>
      <c r="AW415" s="49"/>
      <c r="AX415" s="49"/>
      <c r="AY415" s="49"/>
      <c r="AZ415" s="49"/>
      <c r="BA415" s="49"/>
      <c r="BB415" s="49"/>
      <c r="BC415" s="49"/>
      <c r="BD415" s="49"/>
      <c r="BE415" s="49"/>
    </row>
    <row r="416" spans="1:57" x14ac:dyDescent="0.35">
      <c r="G416" s="91"/>
      <c r="H416" s="92"/>
      <c r="I416" s="93"/>
      <c r="J416" s="94"/>
      <c r="K416" s="95"/>
      <c r="L416" s="96"/>
      <c r="M416" s="149"/>
      <c r="N416" s="135"/>
      <c r="O416" s="54"/>
      <c r="P416" s="131"/>
      <c r="Q416" s="54"/>
      <c r="R416" s="137"/>
      <c r="S416" s="140"/>
      <c r="T416" s="137"/>
      <c r="U416" s="140"/>
      <c r="V416" s="54"/>
      <c r="W416" s="137"/>
      <c r="X416" s="135"/>
      <c r="Y416" s="150"/>
      <c r="Z416" s="127"/>
      <c r="AA416" s="131"/>
      <c r="AB416" s="127"/>
      <c r="AC416" s="131"/>
      <c r="AD416" s="127"/>
      <c r="AE416" s="131"/>
      <c r="AF416" s="127"/>
      <c r="AG416" s="52"/>
      <c r="AH416" s="53"/>
      <c r="AI416" s="54"/>
      <c r="AJ416" s="55"/>
      <c r="AK416" s="51"/>
      <c r="AL416" s="56"/>
      <c r="AM416" s="57"/>
      <c r="AN416" s="112"/>
      <c r="AQ416" s="116"/>
      <c r="AR416" s="76"/>
      <c r="AW416" s="49"/>
      <c r="AX416" s="49"/>
      <c r="AY416" s="49"/>
      <c r="AZ416" s="49"/>
      <c r="BA416" s="49"/>
      <c r="BB416" s="49"/>
      <c r="BC416" s="49"/>
      <c r="BD416" s="49"/>
      <c r="BE416" s="49"/>
    </row>
    <row r="417" spans="1:57" ht="13.5" thickBot="1" x14ac:dyDescent="0.4">
      <c r="G417" s="91"/>
      <c r="H417" s="92"/>
      <c r="I417" s="93"/>
      <c r="J417" s="94"/>
      <c r="K417" s="95"/>
      <c r="L417" s="96"/>
      <c r="M417" s="151"/>
      <c r="N417" s="152"/>
      <c r="O417" s="153"/>
      <c r="P417" s="154"/>
      <c r="Q417" s="153"/>
      <c r="R417" s="155"/>
      <c r="S417" s="156"/>
      <c r="T417" s="155"/>
      <c r="U417" s="156"/>
      <c r="V417" s="153"/>
      <c r="W417" s="155"/>
      <c r="X417" s="152"/>
      <c r="Y417" s="157"/>
      <c r="Z417" s="127"/>
      <c r="AA417" s="131"/>
      <c r="AB417" s="127"/>
      <c r="AC417" s="131"/>
      <c r="AD417" s="127"/>
      <c r="AE417" s="131"/>
      <c r="AF417" s="127"/>
      <c r="AG417" s="52"/>
      <c r="AH417" s="53"/>
      <c r="AI417" s="54"/>
      <c r="AJ417" s="55"/>
      <c r="AK417" s="51"/>
      <c r="AL417" s="56"/>
      <c r="AM417" s="57"/>
      <c r="AN417" s="112"/>
      <c r="AQ417" s="116"/>
      <c r="AR417" s="76"/>
      <c r="AW417" s="49"/>
      <c r="AX417" s="49"/>
      <c r="AY417" s="49"/>
      <c r="AZ417" s="49"/>
      <c r="BA417" s="49"/>
      <c r="BB417" s="49"/>
      <c r="BC417" s="49"/>
      <c r="BD417" s="49"/>
      <c r="BE417" s="49"/>
    </row>
    <row r="418" spans="1:57" ht="13.5" thickTop="1" x14ac:dyDescent="0.35">
      <c r="A418" s="70"/>
      <c r="B418" s="70"/>
      <c r="C418" s="58"/>
      <c r="D418" s="58"/>
      <c r="E418" s="58"/>
      <c r="F418" s="58"/>
      <c r="G418" s="97">
        <f>SUM(G2:G417)</f>
        <v>206</v>
      </c>
      <c r="H418" s="97">
        <f>SUM(H2:H417)</f>
        <v>121</v>
      </c>
      <c r="I418" s="97">
        <f>SUM(I2:I417)</f>
        <v>137</v>
      </c>
      <c r="J418" s="97">
        <f t="shared" ref="J418:AF418" si="41">COUNTA(J2:J417)</f>
        <v>66</v>
      </c>
      <c r="K418" s="97">
        <f t="shared" si="41"/>
        <v>27</v>
      </c>
      <c r="L418" s="97">
        <f t="shared" si="41"/>
        <v>74</v>
      </c>
      <c r="M418" s="132">
        <f t="shared" si="41"/>
        <v>14</v>
      </c>
      <c r="N418" s="133">
        <f t="shared" si="41"/>
        <v>7</v>
      </c>
      <c r="O418" s="61">
        <f t="shared" si="41"/>
        <v>33</v>
      </c>
      <c r="P418" s="132">
        <f t="shared" si="41"/>
        <v>31</v>
      </c>
      <c r="Q418" s="61">
        <f t="shared" si="41"/>
        <v>8</v>
      </c>
      <c r="R418" s="138">
        <f t="shared" si="41"/>
        <v>23</v>
      </c>
      <c r="S418" s="141">
        <f t="shared" si="41"/>
        <v>13</v>
      </c>
      <c r="T418" s="138">
        <f t="shared" si="41"/>
        <v>10</v>
      </c>
      <c r="U418" s="141">
        <f t="shared" si="41"/>
        <v>28</v>
      </c>
      <c r="V418" s="61">
        <f t="shared" si="41"/>
        <v>34</v>
      </c>
      <c r="W418" s="138">
        <f t="shared" si="41"/>
        <v>0</v>
      </c>
      <c r="X418" s="133">
        <f t="shared" si="41"/>
        <v>5</v>
      </c>
      <c r="Y418" s="61">
        <f t="shared" si="41"/>
        <v>14</v>
      </c>
      <c r="Z418" s="128">
        <f t="shared" si="41"/>
        <v>19</v>
      </c>
      <c r="AA418" s="132">
        <f t="shared" si="41"/>
        <v>18</v>
      </c>
      <c r="AB418" s="128">
        <f t="shared" si="41"/>
        <v>12</v>
      </c>
      <c r="AC418" s="132">
        <f t="shared" si="41"/>
        <v>14</v>
      </c>
      <c r="AD418" s="128">
        <f t="shared" si="41"/>
        <v>24</v>
      </c>
      <c r="AE418" s="132">
        <f t="shared" si="41"/>
        <v>7</v>
      </c>
      <c r="AF418" s="128">
        <f t="shared" si="41"/>
        <v>11</v>
      </c>
      <c r="AG418" s="59">
        <f t="shared" ref="AG418:AS418" si="42">SUM(AG2:AG417)</f>
        <v>66</v>
      </c>
      <c r="AH418" s="60">
        <f t="shared" si="42"/>
        <v>66</v>
      </c>
      <c r="AI418" s="61">
        <f t="shared" si="42"/>
        <v>64</v>
      </c>
      <c r="AJ418" s="62">
        <f t="shared" si="42"/>
        <v>62</v>
      </c>
      <c r="AK418" s="63">
        <f t="shared" si="42"/>
        <v>59</v>
      </c>
      <c r="AL418" s="64">
        <f t="shared" si="42"/>
        <v>38</v>
      </c>
      <c r="AM418" s="65">
        <f t="shared" si="42"/>
        <v>39</v>
      </c>
      <c r="AN418" s="113">
        <f t="shared" si="42"/>
        <v>45</v>
      </c>
      <c r="AO418" s="50">
        <f t="shared" si="42"/>
        <v>0</v>
      </c>
      <c r="AP418" s="50">
        <f t="shared" si="42"/>
        <v>0</v>
      </c>
      <c r="AQ418" s="117">
        <f t="shared" si="42"/>
        <v>7</v>
      </c>
      <c r="AR418" s="77">
        <f t="shared" si="42"/>
        <v>75</v>
      </c>
      <c r="AS418" s="97">
        <f t="shared" si="42"/>
        <v>489</v>
      </c>
      <c r="AW418" s="49"/>
      <c r="AX418" s="49"/>
      <c r="AY418" s="49"/>
      <c r="AZ418" s="49"/>
      <c r="BA418" s="49"/>
      <c r="BB418" s="49"/>
      <c r="BC418" s="49"/>
      <c r="BD418" s="49"/>
      <c r="BE418" s="49"/>
    </row>
    <row r="419" spans="1:57" x14ac:dyDescent="0.35">
      <c r="AG419" s="66"/>
      <c r="AH419" s="53"/>
      <c r="AI419" s="54"/>
      <c r="AJ419" s="55"/>
      <c r="AK419" s="51"/>
      <c r="AL419" s="56"/>
      <c r="AM419" s="67"/>
      <c r="AN419" s="112"/>
      <c r="AQ419" s="118"/>
      <c r="AR419" s="78"/>
      <c r="AW419" s="49"/>
      <c r="AX419" s="49"/>
      <c r="AY419" s="49"/>
      <c r="AZ419" s="49"/>
      <c r="BA419" s="49"/>
      <c r="BB419" s="49"/>
      <c r="BC419" s="49"/>
      <c r="BD419" s="49"/>
      <c r="BE419" s="49"/>
    </row>
    <row r="420" spans="1:57" x14ac:dyDescent="0.35">
      <c r="AG420" s="66">
        <f t="shared" ref="AG420:AR420" si="43">SUBTOTAL(9,AG2:AG417)</f>
        <v>3</v>
      </c>
      <c r="AH420" s="53">
        <f t="shared" si="43"/>
        <v>2</v>
      </c>
      <c r="AI420" s="54">
        <f t="shared" si="43"/>
        <v>6</v>
      </c>
      <c r="AJ420" s="55">
        <f t="shared" si="43"/>
        <v>6</v>
      </c>
      <c r="AK420" s="51">
        <f t="shared" si="43"/>
        <v>2</v>
      </c>
      <c r="AL420" s="56">
        <f t="shared" si="43"/>
        <v>1</v>
      </c>
      <c r="AM420" s="57">
        <f t="shared" si="43"/>
        <v>0</v>
      </c>
      <c r="AN420" s="112">
        <f t="shared" si="43"/>
        <v>2</v>
      </c>
      <c r="AO420" s="49">
        <f t="shared" si="43"/>
        <v>0</v>
      </c>
      <c r="AP420" s="49">
        <f t="shared" si="43"/>
        <v>0</v>
      </c>
      <c r="AQ420" s="118">
        <f t="shared" si="43"/>
        <v>0</v>
      </c>
      <c r="AR420" s="78">
        <f t="shared" si="43"/>
        <v>0</v>
      </c>
      <c r="AS420" s="72">
        <f>SUM(AG420:AR420)</f>
        <v>22</v>
      </c>
      <c r="AW420" s="49"/>
      <c r="AX420" s="49"/>
      <c r="AY420" s="49"/>
      <c r="AZ420" s="49"/>
      <c r="BA420" s="49"/>
      <c r="BB420" s="49"/>
      <c r="BC420" s="49"/>
      <c r="BD420" s="49"/>
      <c r="BE420" s="49"/>
    </row>
    <row r="421" spans="1:57" x14ac:dyDescent="0.35">
      <c r="AW421" s="49"/>
      <c r="AX421" s="49"/>
      <c r="AY421" s="49"/>
      <c r="AZ421" s="49"/>
      <c r="BA421" s="49"/>
      <c r="BB421" s="49"/>
      <c r="BC421" s="49"/>
      <c r="BD421" s="49"/>
      <c r="BE421" s="49"/>
    </row>
    <row r="422" spans="1:57" x14ac:dyDescent="0.35">
      <c r="G422" s="71"/>
      <c r="H422" s="71"/>
      <c r="I422" s="71"/>
      <c r="J422" s="71"/>
      <c r="K422" s="71"/>
      <c r="L422" s="7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119"/>
      <c r="AR422" s="31"/>
      <c r="AW422" s="49"/>
      <c r="AX422" s="49"/>
      <c r="AY422" s="49"/>
      <c r="AZ422" s="49"/>
      <c r="BA422" s="49"/>
      <c r="BB422" s="49"/>
      <c r="BC422" s="49"/>
      <c r="BD422" s="49"/>
      <c r="BE422" s="49"/>
    </row>
    <row r="423" spans="1:57" x14ac:dyDescent="0.35">
      <c r="G423" s="71"/>
      <c r="H423" s="71"/>
      <c r="I423" s="71"/>
      <c r="J423" s="71"/>
      <c r="K423" s="71"/>
      <c r="L423" s="7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119"/>
      <c r="AR423" s="31"/>
      <c r="AW423" s="49"/>
      <c r="AX423" s="49"/>
      <c r="AY423" s="49"/>
      <c r="AZ423" s="49"/>
      <c r="BA423" s="49"/>
      <c r="BB423" s="49"/>
      <c r="BC423" s="49"/>
      <c r="BD423" s="49"/>
      <c r="BE423" s="49"/>
    </row>
    <row r="424" spans="1:57" x14ac:dyDescent="0.35">
      <c r="G424" s="71"/>
      <c r="H424" s="71"/>
      <c r="I424" s="71"/>
      <c r="J424" s="71"/>
      <c r="K424" s="71"/>
      <c r="L424" s="7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119"/>
      <c r="AR424" s="31"/>
      <c r="AW424" s="49"/>
      <c r="AX424" s="49"/>
      <c r="AY424" s="49"/>
      <c r="AZ424" s="49"/>
      <c r="BA424" s="49"/>
      <c r="BB424" s="49"/>
      <c r="BC424" s="49"/>
      <c r="BD424" s="49"/>
      <c r="BE424" s="49"/>
    </row>
    <row r="425" spans="1:57" x14ac:dyDescent="0.35">
      <c r="G425" s="71"/>
      <c r="H425" s="71"/>
      <c r="I425" s="71"/>
      <c r="J425" s="71"/>
      <c r="K425" s="71"/>
      <c r="L425" s="7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119"/>
      <c r="AR425" s="31"/>
      <c r="AW425" s="49"/>
      <c r="AX425" s="49"/>
      <c r="AY425" s="49"/>
      <c r="AZ425" s="49"/>
      <c r="BA425" s="49"/>
      <c r="BB425" s="49"/>
      <c r="BC425" s="49"/>
      <c r="BD425" s="49"/>
      <c r="BE425" s="49"/>
    </row>
    <row r="426" spans="1:57" x14ac:dyDescent="0.35">
      <c r="G426" s="71"/>
      <c r="H426" s="71"/>
      <c r="I426" s="71"/>
      <c r="J426" s="71"/>
      <c r="K426" s="71"/>
      <c r="L426" s="7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119"/>
      <c r="AR426" s="31"/>
    </row>
    <row r="427" spans="1:57" x14ac:dyDescent="0.35">
      <c r="G427" s="71"/>
      <c r="H427" s="71"/>
      <c r="I427" s="71"/>
      <c r="J427" s="71"/>
      <c r="K427" s="71"/>
      <c r="L427" s="7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119"/>
      <c r="AR427" s="31"/>
    </row>
    <row r="428" spans="1:57" x14ac:dyDescent="0.35">
      <c r="G428" s="71"/>
      <c r="H428" s="71"/>
      <c r="I428" s="71"/>
      <c r="J428" s="71"/>
      <c r="K428" s="71"/>
      <c r="L428" s="7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119"/>
      <c r="AR428" s="31"/>
    </row>
    <row r="429" spans="1:57" x14ac:dyDescent="0.35">
      <c r="G429" s="71"/>
      <c r="H429" s="71"/>
      <c r="I429" s="71"/>
      <c r="J429" s="71"/>
      <c r="K429" s="71"/>
      <c r="L429" s="7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119"/>
      <c r="AR429" s="31"/>
    </row>
    <row r="430" spans="1:57" x14ac:dyDescent="0.35">
      <c r="G430" s="71"/>
      <c r="H430" s="71"/>
      <c r="I430" s="71"/>
      <c r="J430" s="71"/>
      <c r="K430" s="71"/>
      <c r="L430" s="7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119"/>
      <c r="AR430" s="31"/>
    </row>
    <row r="431" spans="1:57" x14ac:dyDescent="0.35">
      <c r="G431" s="71"/>
      <c r="H431" s="71"/>
      <c r="I431" s="71"/>
      <c r="J431" s="71"/>
      <c r="K431" s="71"/>
      <c r="L431" s="7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119"/>
      <c r="AR431" s="31"/>
    </row>
  </sheetData>
  <autoFilter ref="A1:BI414" xr:uid="{00000000-0009-0000-0000-000000000000}">
    <filterColumn colId="5">
      <filters>
        <filter val="Crack Shot: When Carrying a Sniper Rifle during a Work Action, re-roll 1s on all [FIGHTING] Tests."/>
        <filter val="Dead-Eye: When Carrying a Sniper Rifle on Jobs, draw 1 fewer Misbehave Card, down to a minimum of 1."/>
        <filter val="Enforcer: +[NEGOTIATE] When Carrying a Firearm. Counts as an Enforcer."/>
        <filter val="Firebug: +[NEGOTIATE] When Carrying Explosives."/>
        <filter val="Gambler: When Carrying Gambling Gear on Jobs, double Grifter bonuses."/>
        <filter val="Getaway Driver: When Carrying a Transport on Jobs, draw 1 fewer Misbehave Card, down to a minimum of 1."/>
        <filter val="Gunslinger: When Carrying a Firearm during a Work Action, re-roll 1s in all [NEGOTIATING] Tests."/>
        <filter val="Intimidating: +[NEGOTIATE] When Carrying a Firearm."/>
        <filter val="Knife Fighter: +[FIGHT] When Carrying a Knife. May not Carry a Firearm."/>
        <filter val="Master Knife Fighter: +[FIGHT][FIGHT] When Carrying a Knife. May not Carry a Firearm."/>
        <filter val="Master of Disguise: Counts as a Companion when Carrying Fancy Duds. Counts as a Grifter when Carrying Fake ID."/>
        <filter val="Raiding Party: +[FIGHT] When Carrying a Transport. +[FIGHT] When Attacking in SHOWDOWN."/>
        <filter val="Straight shooter: +[FIGHT] When Carrying a Sniper Rifle."/>
        <filter val="Torturer: When Carrying a Knife, you may re-roll 1s in all [NEGOTIATING] Tests. This counts as Immoral."/>
        <filter val="Trick Shot: When Carrying a Firearm, counts as Sniper Rifle."/>
      </filters>
    </filterColumn>
    <sortState xmlns:xlrd2="http://schemas.microsoft.com/office/spreadsheetml/2017/richdata2" ref="A2:BI353">
      <sortCondition sortBy="cellColor" ref="A1:A353" dxfId="0"/>
    </sortState>
  </autoFilter>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396"/>
  <sheetViews>
    <sheetView zoomScaleNormal="100" workbookViewId="0">
      <pane xSplit="2" ySplit="1" topLeftCell="C2" activePane="bottomRight" state="frozen"/>
      <selection pane="topRight" activeCell="D1" sqref="D1"/>
      <selection pane="bottomLeft" activeCell="A2" sqref="A2"/>
      <selection pane="bottomRight"/>
    </sheetView>
  </sheetViews>
  <sheetFormatPr defaultColWidth="9.08984375" defaultRowHeight="11.5" x14ac:dyDescent="0.35"/>
  <cols>
    <col min="1" max="1" width="16" style="216" bestFit="1" customWidth="1"/>
    <col min="2" max="2" width="14.453125" style="216" bestFit="1" customWidth="1"/>
    <col min="3" max="3" width="30.81640625" style="216" bestFit="1" customWidth="1"/>
    <col min="4" max="4" width="7.453125" style="216" bestFit="1" customWidth="1"/>
    <col min="5" max="5" width="9.6328125" style="216" bestFit="1" customWidth="1"/>
    <col min="6" max="6" width="17.08984375" style="216" bestFit="1" customWidth="1"/>
    <col min="7" max="7" width="26.36328125" style="216" bestFit="1" customWidth="1"/>
    <col min="8" max="8" width="24.36328125" style="216" bestFit="1" customWidth="1"/>
    <col min="9" max="9" width="19.7265625" style="216" bestFit="1" customWidth="1"/>
    <col min="10" max="10" width="19.90625" style="216" bestFit="1" customWidth="1"/>
    <col min="11" max="11" width="6.08984375" style="216" bestFit="1" customWidth="1"/>
    <col min="12" max="12" width="14.1796875" style="216" bestFit="1" customWidth="1"/>
    <col min="13" max="13" width="14.54296875" style="216" bestFit="1" customWidth="1"/>
    <col min="14" max="14" width="9.36328125" style="230" bestFit="1" customWidth="1"/>
    <col min="15" max="15" width="9.26953125" style="233" bestFit="1" customWidth="1"/>
    <col min="16" max="16" width="8.6328125" style="236" bestFit="1" customWidth="1"/>
    <col min="17" max="17" width="34.6328125" style="216" bestFit="1" customWidth="1"/>
    <col min="18" max="18" width="34.453125" style="216" bestFit="1" customWidth="1"/>
    <col min="19" max="16384" width="9.08984375" style="216"/>
  </cols>
  <sheetData>
    <row r="1" spans="1:18" s="215" customFormat="1" x14ac:dyDescent="0.35">
      <c r="A1" s="264" t="s">
        <v>296</v>
      </c>
      <c r="B1" s="264" t="s">
        <v>150</v>
      </c>
      <c r="C1" s="264" t="s">
        <v>0</v>
      </c>
      <c r="D1" s="264" t="s">
        <v>598</v>
      </c>
      <c r="E1" s="264" t="s">
        <v>597</v>
      </c>
      <c r="F1" s="264" t="s">
        <v>1</v>
      </c>
      <c r="G1" s="264" t="s">
        <v>151</v>
      </c>
      <c r="H1" s="264" t="s">
        <v>2492</v>
      </c>
      <c r="I1" s="264" t="s">
        <v>152</v>
      </c>
      <c r="J1" s="264" t="s">
        <v>2493</v>
      </c>
      <c r="K1" s="264" t="s">
        <v>154</v>
      </c>
      <c r="L1" s="264" t="s">
        <v>607</v>
      </c>
      <c r="M1" s="264" t="s">
        <v>155</v>
      </c>
      <c r="N1" s="265" t="s">
        <v>10</v>
      </c>
      <c r="O1" s="265" t="s">
        <v>15</v>
      </c>
      <c r="P1" s="265" t="s">
        <v>600</v>
      </c>
      <c r="Q1" s="264" t="s">
        <v>156</v>
      </c>
      <c r="R1" s="264" t="s">
        <v>3</v>
      </c>
    </row>
    <row r="2" spans="1:18" ht="23" x14ac:dyDescent="0.35">
      <c r="A2" s="216" t="s">
        <v>2825</v>
      </c>
      <c r="B2" s="216" t="s">
        <v>1365</v>
      </c>
      <c r="C2" s="216" t="s">
        <v>1426</v>
      </c>
      <c r="D2" s="216" t="s">
        <v>183</v>
      </c>
      <c r="F2" s="216" t="s">
        <v>210</v>
      </c>
      <c r="G2" s="216" t="s">
        <v>171</v>
      </c>
      <c r="H2" s="216" t="s">
        <v>647</v>
      </c>
      <c r="I2" s="216" t="s">
        <v>212</v>
      </c>
      <c r="J2" s="216" t="s">
        <v>656</v>
      </c>
      <c r="K2" s="216">
        <v>2000</v>
      </c>
      <c r="M2" s="216" t="s">
        <v>850</v>
      </c>
      <c r="N2" s="263"/>
      <c r="O2" s="263"/>
      <c r="P2" s="263"/>
      <c r="Q2" s="216" t="s">
        <v>21</v>
      </c>
      <c r="R2" s="216" t="s">
        <v>2964</v>
      </c>
    </row>
    <row r="3" spans="1:18" ht="23" x14ac:dyDescent="0.35">
      <c r="A3" s="216" t="s">
        <v>2825</v>
      </c>
      <c r="B3" s="216" t="s">
        <v>1365</v>
      </c>
      <c r="C3" s="216" t="s">
        <v>289</v>
      </c>
      <c r="D3" s="216" t="s">
        <v>183</v>
      </c>
      <c r="F3" s="216" t="s">
        <v>210</v>
      </c>
      <c r="G3" s="216" t="s">
        <v>171</v>
      </c>
      <c r="H3" s="216" t="s">
        <v>647</v>
      </c>
      <c r="I3" s="216" t="s">
        <v>200</v>
      </c>
      <c r="J3" s="216" t="s">
        <v>656</v>
      </c>
      <c r="K3" s="216">
        <v>2000</v>
      </c>
      <c r="M3" s="216" t="s">
        <v>850</v>
      </c>
      <c r="Q3" s="216" t="s">
        <v>21</v>
      </c>
      <c r="R3" s="216" t="s">
        <v>2964</v>
      </c>
    </row>
    <row r="4" spans="1:18" ht="23" x14ac:dyDescent="0.35">
      <c r="A4" s="216" t="s">
        <v>2825</v>
      </c>
      <c r="B4" s="216" t="s">
        <v>1365</v>
      </c>
      <c r="C4" s="216" t="s">
        <v>288</v>
      </c>
      <c r="D4" s="216" t="s">
        <v>183</v>
      </c>
      <c r="F4" s="216" t="s">
        <v>210</v>
      </c>
      <c r="G4" s="216" t="s">
        <v>171</v>
      </c>
      <c r="H4" s="216" t="s">
        <v>647</v>
      </c>
      <c r="I4" s="216" t="s">
        <v>220</v>
      </c>
      <c r="J4" s="216" t="s">
        <v>656</v>
      </c>
      <c r="K4" s="216">
        <v>2000</v>
      </c>
      <c r="M4" s="216" t="s">
        <v>850</v>
      </c>
      <c r="Q4" s="216" t="s">
        <v>21</v>
      </c>
      <c r="R4" s="216" t="s">
        <v>2964</v>
      </c>
    </row>
    <row r="5" spans="1:18" ht="23" x14ac:dyDescent="0.35">
      <c r="A5" s="216" t="s">
        <v>2825</v>
      </c>
      <c r="B5" s="216" t="s">
        <v>1365</v>
      </c>
      <c r="C5" s="216" t="s">
        <v>280</v>
      </c>
      <c r="D5" s="216" t="s">
        <v>159</v>
      </c>
      <c r="F5" s="216" t="s">
        <v>160</v>
      </c>
      <c r="G5" s="216" t="s">
        <v>167</v>
      </c>
      <c r="H5" s="216" t="s">
        <v>163</v>
      </c>
      <c r="I5" s="216" t="s">
        <v>164</v>
      </c>
      <c r="J5" s="216" t="s">
        <v>163</v>
      </c>
      <c r="K5" s="216">
        <v>1500</v>
      </c>
      <c r="M5" s="216" t="s">
        <v>182</v>
      </c>
      <c r="P5" s="236">
        <v>2</v>
      </c>
    </row>
    <row r="6" spans="1:18" ht="23" x14ac:dyDescent="0.35">
      <c r="A6" s="216" t="s">
        <v>2825</v>
      </c>
      <c r="B6" s="216" t="s">
        <v>1365</v>
      </c>
      <c r="C6" s="216" t="s">
        <v>280</v>
      </c>
      <c r="D6" s="216" t="s">
        <v>159</v>
      </c>
      <c r="F6" s="216" t="s">
        <v>160</v>
      </c>
      <c r="G6" s="216" t="s">
        <v>167</v>
      </c>
      <c r="H6" s="216" t="s">
        <v>163</v>
      </c>
      <c r="I6" s="216" t="s">
        <v>233</v>
      </c>
      <c r="J6" s="216" t="s">
        <v>163</v>
      </c>
      <c r="K6" s="216">
        <v>1300</v>
      </c>
      <c r="M6" s="216" t="s">
        <v>182</v>
      </c>
      <c r="P6" s="236">
        <v>2</v>
      </c>
    </row>
    <row r="7" spans="1:18" ht="23" x14ac:dyDescent="0.35">
      <c r="A7" s="216" t="s">
        <v>2825</v>
      </c>
      <c r="B7" s="216" t="s">
        <v>1365</v>
      </c>
      <c r="C7" s="216" t="s">
        <v>280</v>
      </c>
      <c r="D7" s="216" t="s">
        <v>159</v>
      </c>
      <c r="F7" s="216" t="s">
        <v>160</v>
      </c>
      <c r="G7" s="216" t="s">
        <v>167</v>
      </c>
      <c r="H7" s="216" t="s">
        <v>163</v>
      </c>
      <c r="I7" s="216" t="s">
        <v>161</v>
      </c>
      <c r="J7" s="216" t="s">
        <v>163</v>
      </c>
      <c r="K7" s="216">
        <v>1300</v>
      </c>
      <c r="M7" s="216" t="s">
        <v>182</v>
      </c>
      <c r="P7" s="236">
        <v>2</v>
      </c>
    </row>
    <row r="8" spans="1:18" ht="23" x14ac:dyDescent="0.35">
      <c r="A8" s="216" t="s">
        <v>2825</v>
      </c>
      <c r="B8" s="216" t="s">
        <v>1365</v>
      </c>
      <c r="C8" s="216" t="s">
        <v>287</v>
      </c>
      <c r="D8" s="216" t="s">
        <v>183</v>
      </c>
      <c r="F8" s="216" t="s">
        <v>210</v>
      </c>
      <c r="G8" s="216" t="s">
        <v>203</v>
      </c>
      <c r="H8" s="216" t="s">
        <v>656</v>
      </c>
      <c r="I8" s="216" t="s">
        <v>205</v>
      </c>
      <c r="J8" s="216" t="s">
        <v>647</v>
      </c>
      <c r="K8" s="216">
        <v>2000</v>
      </c>
      <c r="M8" s="216" t="s">
        <v>178</v>
      </c>
      <c r="N8" s="230">
        <v>2</v>
      </c>
    </row>
    <row r="9" spans="1:18" ht="23" x14ac:dyDescent="0.35">
      <c r="A9" s="216" t="s">
        <v>2825</v>
      </c>
      <c r="B9" s="216" t="s">
        <v>1365</v>
      </c>
      <c r="C9" s="216" t="s">
        <v>293</v>
      </c>
      <c r="D9" s="216" t="s">
        <v>183</v>
      </c>
      <c r="F9" s="216" t="s">
        <v>210</v>
      </c>
      <c r="G9" s="216" t="s">
        <v>161</v>
      </c>
      <c r="H9" s="216" t="s">
        <v>646</v>
      </c>
      <c r="I9" s="216" t="s">
        <v>162</v>
      </c>
      <c r="J9" s="216" t="s">
        <v>647</v>
      </c>
      <c r="K9" s="216">
        <v>2500</v>
      </c>
      <c r="M9" s="216" t="s">
        <v>178</v>
      </c>
      <c r="N9" s="230">
        <v>2</v>
      </c>
      <c r="O9" s="233">
        <v>1</v>
      </c>
    </row>
    <row r="10" spans="1:18" ht="23" x14ac:dyDescent="0.35">
      <c r="A10" s="216" t="s">
        <v>2825</v>
      </c>
      <c r="B10" s="216" t="s">
        <v>1365</v>
      </c>
      <c r="C10" s="216" t="s">
        <v>291</v>
      </c>
      <c r="D10" s="216" t="s">
        <v>183</v>
      </c>
      <c r="F10" s="216" t="s">
        <v>210</v>
      </c>
      <c r="G10" s="216" t="s">
        <v>168</v>
      </c>
      <c r="H10" s="216" t="s">
        <v>656</v>
      </c>
      <c r="I10" s="216" t="s">
        <v>169</v>
      </c>
      <c r="J10" s="216" t="s">
        <v>647</v>
      </c>
      <c r="K10" s="216">
        <v>2200</v>
      </c>
      <c r="M10" s="216" t="s">
        <v>178</v>
      </c>
      <c r="N10" s="230">
        <v>2</v>
      </c>
    </row>
    <row r="11" spans="1:18" ht="23" x14ac:dyDescent="0.35">
      <c r="A11" s="216" t="s">
        <v>2825</v>
      </c>
      <c r="B11" s="216" t="s">
        <v>1365</v>
      </c>
      <c r="C11" s="216" t="s">
        <v>284</v>
      </c>
      <c r="D11" s="216" t="s">
        <v>159</v>
      </c>
      <c r="F11" s="216" t="s">
        <v>160</v>
      </c>
      <c r="G11" s="216" t="s">
        <v>196</v>
      </c>
      <c r="H11" s="216" t="s">
        <v>163</v>
      </c>
      <c r="I11" s="216" t="s">
        <v>168</v>
      </c>
      <c r="J11" s="216" t="s">
        <v>163</v>
      </c>
      <c r="K11" s="216">
        <v>1500</v>
      </c>
      <c r="M11" s="216" t="s">
        <v>198</v>
      </c>
      <c r="O11" s="233">
        <v>2</v>
      </c>
    </row>
    <row r="12" spans="1:18" ht="23" x14ac:dyDescent="0.35">
      <c r="A12" s="216" t="s">
        <v>2825</v>
      </c>
      <c r="B12" s="216" t="s">
        <v>1365</v>
      </c>
      <c r="C12" s="216" t="s">
        <v>284</v>
      </c>
      <c r="D12" s="216" t="s">
        <v>159</v>
      </c>
      <c r="F12" s="216" t="s">
        <v>160</v>
      </c>
      <c r="G12" s="216" t="s">
        <v>196</v>
      </c>
      <c r="H12" s="216" t="s">
        <v>163</v>
      </c>
      <c r="I12" s="216" t="s">
        <v>171</v>
      </c>
      <c r="J12" s="216" t="s">
        <v>163</v>
      </c>
      <c r="K12" s="216">
        <v>1500</v>
      </c>
      <c r="M12" s="216" t="s">
        <v>198</v>
      </c>
      <c r="O12" s="233">
        <v>2</v>
      </c>
    </row>
    <row r="13" spans="1:18" ht="23" x14ac:dyDescent="0.35">
      <c r="A13" s="216" t="s">
        <v>2825</v>
      </c>
      <c r="B13" s="216" t="s">
        <v>1365</v>
      </c>
      <c r="C13" s="216" t="s">
        <v>285</v>
      </c>
      <c r="D13" s="216" t="s">
        <v>159</v>
      </c>
      <c r="F13" s="216" t="s">
        <v>160</v>
      </c>
      <c r="G13" s="216" t="s">
        <v>186</v>
      </c>
      <c r="H13" s="216" t="s">
        <v>258</v>
      </c>
      <c r="I13" s="216" t="s">
        <v>164</v>
      </c>
      <c r="J13" s="216" t="s">
        <v>258</v>
      </c>
      <c r="K13" s="216">
        <v>1900</v>
      </c>
      <c r="Q13" s="216" t="s">
        <v>286</v>
      </c>
      <c r="R13" s="216" t="s">
        <v>2390</v>
      </c>
    </row>
    <row r="14" spans="1:18" ht="23" x14ac:dyDescent="0.35">
      <c r="A14" s="216" t="s">
        <v>2825</v>
      </c>
      <c r="B14" s="216" t="s">
        <v>1365</v>
      </c>
      <c r="C14" s="216" t="s">
        <v>285</v>
      </c>
      <c r="D14" s="216" t="s">
        <v>159</v>
      </c>
      <c r="F14" s="216" t="s">
        <v>160</v>
      </c>
      <c r="G14" s="216" t="s">
        <v>186</v>
      </c>
      <c r="H14" s="216" t="s">
        <v>258</v>
      </c>
      <c r="I14" s="216" t="s">
        <v>249</v>
      </c>
      <c r="J14" s="216" t="s">
        <v>258</v>
      </c>
      <c r="K14" s="216">
        <v>1900</v>
      </c>
      <c r="Q14" s="216" t="s">
        <v>286</v>
      </c>
      <c r="R14" s="216" t="s">
        <v>2390</v>
      </c>
    </row>
    <row r="15" spans="1:18" ht="23" x14ac:dyDescent="0.35">
      <c r="A15" s="216" t="s">
        <v>2825</v>
      </c>
      <c r="B15" s="216" t="s">
        <v>1365</v>
      </c>
      <c r="C15" s="216" t="s">
        <v>285</v>
      </c>
      <c r="D15" s="216" t="s">
        <v>159</v>
      </c>
      <c r="F15" s="216" t="s">
        <v>160</v>
      </c>
      <c r="G15" s="216" t="s">
        <v>186</v>
      </c>
      <c r="H15" s="216" t="s">
        <v>258</v>
      </c>
      <c r="I15" s="216" t="s">
        <v>181</v>
      </c>
      <c r="J15" s="216" t="s">
        <v>258</v>
      </c>
      <c r="K15" s="216">
        <v>2200</v>
      </c>
      <c r="Q15" s="216" t="s">
        <v>286</v>
      </c>
      <c r="R15" s="216" t="s">
        <v>2390</v>
      </c>
    </row>
    <row r="16" spans="1:18" ht="23" x14ac:dyDescent="0.35">
      <c r="A16" s="216" t="s">
        <v>2825</v>
      </c>
      <c r="B16" s="216" t="s">
        <v>1365</v>
      </c>
      <c r="C16" s="216" t="s">
        <v>277</v>
      </c>
      <c r="D16" s="216" t="s">
        <v>159</v>
      </c>
      <c r="F16" s="216" t="s">
        <v>30</v>
      </c>
      <c r="G16" s="216" t="s">
        <v>171</v>
      </c>
      <c r="H16" s="216" t="s">
        <v>651</v>
      </c>
      <c r="I16" s="216" t="s">
        <v>255</v>
      </c>
      <c r="J16" s="216" t="s">
        <v>651</v>
      </c>
      <c r="K16" s="216" t="s">
        <v>278</v>
      </c>
      <c r="M16" s="216" t="s">
        <v>202</v>
      </c>
      <c r="N16" s="230">
        <v>1</v>
      </c>
      <c r="O16" s="233">
        <v>2</v>
      </c>
    </row>
    <row r="17" spans="1:18" ht="23" x14ac:dyDescent="0.35">
      <c r="A17" s="216" t="s">
        <v>2825</v>
      </c>
      <c r="B17" s="216" t="s">
        <v>1365</v>
      </c>
      <c r="C17" s="216" t="s">
        <v>277</v>
      </c>
      <c r="D17" s="216" t="s">
        <v>159</v>
      </c>
      <c r="F17" s="216" t="s">
        <v>30</v>
      </c>
      <c r="G17" s="216" t="s">
        <v>171</v>
      </c>
      <c r="H17" s="216" t="s">
        <v>651</v>
      </c>
      <c r="I17" s="216" t="s">
        <v>169</v>
      </c>
      <c r="J17" s="216" t="s">
        <v>651</v>
      </c>
      <c r="K17" s="216" t="s">
        <v>278</v>
      </c>
      <c r="M17" s="216" t="s">
        <v>202</v>
      </c>
      <c r="N17" s="230">
        <v>2</v>
      </c>
    </row>
    <row r="18" spans="1:18" ht="23" x14ac:dyDescent="0.35">
      <c r="A18" s="216" t="s">
        <v>2825</v>
      </c>
      <c r="B18" s="216" t="s">
        <v>1365</v>
      </c>
      <c r="C18" s="216" t="s">
        <v>294</v>
      </c>
      <c r="D18" s="216" t="s">
        <v>183</v>
      </c>
      <c r="F18" s="216" t="s">
        <v>210</v>
      </c>
      <c r="G18" s="216" t="s">
        <v>189</v>
      </c>
      <c r="H18" s="216" t="s">
        <v>646</v>
      </c>
      <c r="I18" s="216" t="s">
        <v>244</v>
      </c>
      <c r="J18" s="216" t="s">
        <v>647</v>
      </c>
      <c r="K18" s="216">
        <v>2500</v>
      </c>
      <c r="M18" s="216" t="s">
        <v>202</v>
      </c>
      <c r="N18" s="230">
        <v>2</v>
      </c>
      <c r="Q18" s="216" t="s">
        <v>295</v>
      </c>
    </row>
    <row r="19" spans="1:18" ht="23" x14ac:dyDescent="0.35">
      <c r="A19" s="216" t="s">
        <v>2825</v>
      </c>
      <c r="B19" s="216" t="s">
        <v>1365</v>
      </c>
      <c r="C19" s="216" t="s">
        <v>279</v>
      </c>
      <c r="D19" s="216" t="s">
        <v>159</v>
      </c>
      <c r="F19" s="216" t="s">
        <v>160</v>
      </c>
      <c r="G19" s="216" t="s">
        <v>223</v>
      </c>
      <c r="H19" s="216" t="s">
        <v>163</v>
      </c>
      <c r="I19" s="216" t="s">
        <v>167</v>
      </c>
      <c r="J19" s="216" t="s">
        <v>163</v>
      </c>
      <c r="K19" s="216">
        <v>1200</v>
      </c>
      <c r="M19" s="216" t="s">
        <v>198</v>
      </c>
      <c r="O19" s="233">
        <v>2</v>
      </c>
    </row>
    <row r="20" spans="1:18" ht="23" x14ac:dyDescent="0.35">
      <c r="A20" s="216" t="s">
        <v>2825</v>
      </c>
      <c r="B20" s="216" t="s">
        <v>1365</v>
      </c>
      <c r="C20" s="216" t="s">
        <v>290</v>
      </c>
      <c r="D20" s="216" t="s">
        <v>183</v>
      </c>
      <c r="F20" s="216" t="s">
        <v>210</v>
      </c>
      <c r="G20" s="216" t="s">
        <v>180</v>
      </c>
      <c r="H20" s="216" t="s">
        <v>657</v>
      </c>
      <c r="I20" s="216" t="s">
        <v>181</v>
      </c>
      <c r="J20" s="216" t="s">
        <v>658</v>
      </c>
      <c r="K20" s="216">
        <v>2200</v>
      </c>
      <c r="P20" s="236">
        <v>2</v>
      </c>
    </row>
    <row r="21" spans="1:18" ht="23" x14ac:dyDescent="0.35">
      <c r="A21" s="216" t="s">
        <v>2825</v>
      </c>
      <c r="B21" s="216" t="s">
        <v>1365</v>
      </c>
      <c r="C21" s="216" t="s">
        <v>292</v>
      </c>
      <c r="D21" s="216" t="s">
        <v>183</v>
      </c>
      <c r="F21" s="216" t="s">
        <v>210</v>
      </c>
      <c r="G21" s="216" t="s">
        <v>253</v>
      </c>
      <c r="H21" s="216" t="s">
        <v>656</v>
      </c>
      <c r="I21" s="216" t="s">
        <v>252</v>
      </c>
      <c r="J21" s="216" t="s">
        <v>647</v>
      </c>
      <c r="K21" s="216">
        <v>2200</v>
      </c>
      <c r="M21" s="216" t="s">
        <v>178</v>
      </c>
      <c r="O21" s="233">
        <v>2</v>
      </c>
    </row>
    <row r="22" spans="1:18" ht="23" x14ac:dyDescent="0.35">
      <c r="A22" s="216" t="s">
        <v>2825</v>
      </c>
      <c r="B22" s="216" t="s">
        <v>1365</v>
      </c>
      <c r="C22" s="216" t="s">
        <v>282</v>
      </c>
      <c r="D22" s="216" t="s">
        <v>159</v>
      </c>
      <c r="F22" s="216" t="s">
        <v>30</v>
      </c>
      <c r="G22" s="216" t="s">
        <v>283</v>
      </c>
      <c r="H22" s="216" t="s">
        <v>650</v>
      </c>
      <c r="I22" s="216" t="s">
        <v>196</v>
      </c>
      <c r="J22" s="216" t="s">
        <v>650</v>
      </c>
      <c r="K22" s="216">
        <v>1500</v>
      </c>
      <c r="M22" s="216" t="s">
        <v>198</v>
      </c>
      <c r="O22" s="233">
        <v>2</v>
      </c>
    </row>
    <row r="23" spans="1:18" ht="23" x14ac:dyDescent="0.35">
      <c r="A23" s="216" t="s">
        <v>2825</v>
      </c>
      <c r="B23" s="216" t="s">
        <v>1365</v>
      </c>
      <c r="C23" s="216" t="s">
        <v>281</v>
      </c>
      <c r="D23" s="216" t="s">
        <v>159</v>
      </c>
      <c r="F23" s="216" t="s">
        <v>160</v>
      </c>
      <c r="G23" s="216" t="s">
        <v>171</v>
      </c>
      <c r="H23" s="216" t="s">
        <v>163</v>
      </c>
      <c r="I23" s="216" t="s">
        <v>166</v>
      </c>
      <c r="J23" s="216" t="s">
        <v>163</v>
      </c>
      <c r="K23" s="216">
        <v>1300</v>
      </c>
      <c r="M23" s="216" t="s">
        <v>178</v>
      </c>
      <c r="N23" s="230">
        <v>2</v>
      </c>
      <c r="O23" s="233">
        <v>2</v>
      </c>
    </row>
    <row r="24" spans="1:18" ht="23" x14ac:dyDescent="0.35">
      <c r="A24" s="216" t="s">
        <v>2825</v>
      </c>
      <c r="B24" s="216" t="s">
        <v>1365</v>
      </c>
      <c r="C24" s="216" t="s">
        <v>281</v>
      </c>
      <c r="D24" s="216" t="s">
        <v>159</v>
      </c>
      <c r="F24" s="216" t="s">
        <v>160</v>
      </c>
      <c r="G24" s="216" t="s">
        <v>171</v>
      </c>
      <c r="H24" s="216" t="s">
        <v>163</v>
      </c>
      <c r="I24" s="216" t="s">
        <v>170</v>
      </c>
      <c r="J24" s="216" t="s">
        <v>163</v>
      </c>
      <c r="K24" s="216">
        <v>1300</v>
      </c>
      <c r="M24" s="216" t="s">
        <v>178</v>
      </c>
      <c r="N24" s="230">
        <v>2</v>
      </c>
      <c r="O24" s="233">
        <v>2</v>
      </c>
    </row>
    <row r="25" spans="1:18" ht="23" x14ac:dyDescent="0.35">
      <c r="A25" s="216" t="s">
        <v>2825</v>
      </c>
      <c r="B25" s="216" t="s">
        <v>1365</v>
      </c>
      <c r="C25" s="216" t="s">
        <v>281</v>
      </c>
      <c r="D25" s="216" t="s">
        <v>159</v>
      </c>
      <c r="F25" s="216" t="s">
        <v>160</v>
      </c>
      <c r="G25" s="216" t="s">
        <v>171</v>
      </c>
      <c r="H25" s="216" t="s">
        <v>163</v>
      </c>
      <c r="I25" s="216" t="s">
        <v>196</v>
      </c>
      <c r="J25" s="216" t="s">
        <v>163</v>
      </c>
      <c r="K25" s="216">
        <v>1400</v>
      </c>
      <c r="M25" s="216" t="s">
        <v>178</v>
      </c>
      <c r="N25" s="230">
        <v>2</v>
      </c>
      <c r="O25" s="233">
        <v>2</v>
      </c>
    </row>
    <row r="26" spans="1:18" ht="23" x14ac:dyDescent="0.35">
      <c r="A26" s="216" t="s">
        <v>2825</v>
      </c>
      <c r="B26" s="216" t="s">
        <v>1365</v>
      </c>
      <c r="C26" s="216" t="s">
        <v>281</v>
      </c>
      <c r="D26" s="216" t="s">
        <v>159</v>
      </c>
      <c r="F26" s="216" t="s">
        <v>160</v>
      </c>
      <c r="G26" s="216" t="s">
        <v>171</v>
      </c>
      <c r="H26" s="216" t="s">
        <v>163</v>
      </c>
      <c r="I26" s="216" t="s">
        <v>259</v>
      </c>
      <c r="J26" s="216" t="s">
        <v>163</v>
      </c>
      <c r="K26" s="216">
        <v>1400</v>
      </c>
      <c r="M26" s="216" t="s">
        <v>178</v>
      </c>
      <c r="N26" s="230">
        <v>2</v>
      </c>
      <c r="O26" s="233">
        <v>2</v>
      </c>
    </row>
    <row r="27" spans="1:18" ht="23" x14ac:dyDescent="0.35">
      <c r="A27" s="216" t="s">
        <v>2057</v>
      </c>
      <c r="B27" s="216" t="s">
        <v>1365</v>
      </c>
      <c r="C27" s="216" t="s">
        <v>629</v>
      </c>
      <c r="D27" s="216" t="s">
        <v>183</v>
      </c>
      <c r="F27" s="216" t="s">
        <v>210</v>
      </c>
      <c r="G27" s="216" t="s">
        <v>180</v>
      </c>
      <c r="H27" s="216" t="s">
        <v>656</v>
      </c>
      <c r="I27" s="216" t="s">
        <v>220</v>
      </c>
      <c r="J27" s="216" t="s">
        <v>647</v>
      </c>
      <c r="K27" s="216">
        <v>800</v>
      </c>
      <c r="L27" s="216" t="s">
        <v>604</v>
      </c>
      <c r="N27" s="263"/>
      <c r="O27" s="263">
        <v>2</v>
      </c>
      <c r="P27" s="263"/>
    </row>
    <row r="28" spans="1:18" ht="23" x14ac:dyDescent="0.35">
      <c r="A28" s="216" t="s">
        <v>2057</v>
      </c>
      <c r="B28" s="216" t="s">
        <v>1365</v>
      </c>
      <c r="C28" s="216" t="s">
        <v>630</v>
      </c>
      <c r="D28" s="216" t="s">
        <v>183</v>
      </c>
      <c r="F28" s="216" t="s">
        <v>210</v>
      </c>
      <c r="G28" s="216" t="s">
        <v>249</v>
      </c>
      <c r="H28" s="216" t="s">
        <v>656</v>
      </c>
      <c r="I28" s="216" t="s">
        <v>189</v>
      </c>
      <c r="J28" s="216" t="s">
        <v>647</v>
      </c>
      <c r="K28" s="216">
        <v>1500</v>
      </c>
      <c r="L28" s="216" t="s">
        <v>631</v>
      </c>
      <c r="N28" s="263"/>
      <c r="O28" s="263">
        <v>2</v>
      </c>
      <c r="P28" s="263"/>
    </row>
    <row r="29" spans="1:18" ht="23" x14ac:dyDescent="0.35">
      <c r="A29" s="216" t="s">
        <v>2057</v>
      </c>
      <c r="B29" s="216" t="s">
        <v>1365</v>
      </c>
      <c r="C29" s="216" t="s">
        <v>627</v>
      </c>
      <c r="D29" s="216" t="s">
        <v>159</v>
      </c>
      <c r="F29" s="216" t="s">
        <v>619</v>
      </c>
      <c r="G29" s="216" t="s">
        <v>196</v>
      </c>
      <c r="K29" s="216">
        <v>800</v>
      </c>
      <c r="L29" s="216" t="s">
        <v>625</v>
      </c>
      <c r="M29" s="216" t="s">
        <v>850</v>
      </c>
      <c r="N29" s="263"/>
      <c r="O29" s="263"/>
      <c r="P29" s="263">
        <v>2</v>
      </c>
    </row>
    <row r="30" spans="1:18" ht="23" x14ac:dyDescent="0.35">
      <c r="A30" s="216" t="s">
        <v>2057</v>
      </c>
      <c r="B30" s="216" t="s">
        <v>1365</v>
      </c>
      <c r="C30" s="216" t="s">
        <v>628</v>
      </c>
      <c r="D30" s="216" t="s">
        <v>159</v>
      </c>
      <c r="F30" s="216" t="s">
        <v>619</v>
      </c>
      <c r="G30" s="216" t="s">
        <v>223</v>
      </c>
      <c r="K30" s="216">
        <v>400</v>
      </c>
      <c r="L30" s="216" t="s">
        <v>625</v>
      </c>
      <c r="M30" s="216" t="s">
        <v>182</v>
      </c>
      <c r="N30" s="263"/>
      <c r="O30" s="263"/>
      <c r="P30" s="263">
        <v>2</v>
      </c>
    </row>
    <row r="31" spans="1:18" ht="23" x14ac:dyDescent="0.35">
      <c r="A31" s="216" t="s">
        <v>2057</v>
      </c>
      <c r="B31" s="216" t="s">
        <v>1365</v>
      </c>
      <c r="C31" s="216" t="s">
        <v>626</v>
      </c>
      <c r="D31" s="216" t="s">
        <v>159</v>
      </c>
      <c r="F31" s="216" t="s">
        <v>619</v>
      </c>
      <c r="G31" s="216" t="s">
        <v>166</v>
      </c>
      <c r="K31" s="216">
        <v>400</v>
      </c>
      <c r="L31" s="216" t="s">
        <v>625</v>
      </c>
      <c r="M31" s="216" t="s">
        <v>182</v>
      </c>
      <c r="N31" s="263"/>
      <c r="O31" s="263"/>
      <c r="P31" s="263">
        <v>2</v>
      </c>
    </row>
    <row r="32" spans="1:18" ht="23" x14ac:dyDescent="0.35">
      <c r="A32" s="216" t="s">
        <v>2058</v>
      </c>
      <c r="B32" s="216" t="s">
        <v>1365</v>
      </c>
      <c r="C32" s="216" t="s">
        <v>711</v>
      </c>
      <c r="D32" s="216" t="s">
        <v>183</v>
      </c>
      <c r="E32" s="216" t="s">
        <v>663</v>
      </c>
      <c r="F32" s="216" t="s">
        <v>664</v>
      </c>
      <c r="G32" s="216" t="s">
        <v>665</v>
      </c>
      <c r="H32" s="216" t="s">
        <v>684</v>
      </c>
      <c r="K32" s="216" t="s">
        <v>685</v>
      </c>
      <c r="N32" s="263"/>
      <c r="O32" s="263"/>
      <c r="P32" s="263"/>
      <c r="Q32" s="216" t="s">
        <v>2517</v>
      </c>
      <c r="R32" s="216" t="s">
        <v>2518</v>
      </c>
    </row>
    <row r="33" spans="1:18" ht="23" x14ac:dyDescent="0.35">
      <c r="A33" s="216" t="s">
        <v>2058</v>
      </c>
      <c r="B33" s="216" t="s">
        <v>1365</v>
      </c>
      <c r="C33" s="216" t="s">
        <v>711</v>
      </c>
      <c r="D33" s="216" t="s">
        <v>183</v>
      </c>
      <c r="E33" s="216" t="s">
        <v>663</v>
      </c>
      <c r="F33" s="216" t="s">
        <v>664</v>
      </c>
      <c r="G33" s="216" t="s">
        <v>665</v>
      </c>
      <c r="H33" s="216" t="s">
        <v>684</v>
      </c>
      <c r="K33" s="216" t="s">
        <v>685</v>
      </c>
      <c r="N33" s="263"/>
      <c r="O33" s="263"/>
      <c r="P33" s="263"/>
      <c r="Q33" s="216" t="s">
        <v>2517</v>
      </c>
      <c r="R33" s="216" t="s">
        <v>2518</v>
      </c>
    </row>
    <row r="34" spans="1:18" ht="23" x14ac:dyDescent="0.35">
      <c r="A34" s="216" t="s">
        <v>2058</v>
      </c>
      <c r="B34" s="216" t="s">
        <v>1365</v>
      </c>
      <c r="C34" s="216" t="s">
        <v>711</v>
      </c>
      <c r="D34" s="216" t="s">
        <v>183</v>
      </c>
      <c r="E34" s="216" t="s">
        <v>663</v>
      </c>
      <c r="F34" s="216" t="s">
        <v>664</v>
      </c>
      <c r="G34" s="216" t="s">
        <v>665</v>
      </c>
      <c r="H34" s="216" t="s">
        <v>684</v>
      </c>
      <c r="K34" s="216" t="s">
        <v>685</v>
      </c>
      <c r="N34" s="263"/>
      <c r="O34" s="263"/>
      <c r="P34" s="263"/>
      <c r="Q34" s="216" t="s">
        <v>2517</v>
      </c>
      <c r="R34" s="216" t="s">
        <v>2518</v>
      </c>
    </row>
    <row r="35" spans="1:18" ht="23" x14ac:dyDescent="0.35">
      <c r="A35" s="216" t="s">
        <v>2058</v>
      </c>
      <c r="B35" s="216" t="s">
        <v>1365</v>
      </c>
      <c r="C35" s="216" t="s">
        <v>711</v>
      </c>
      <c r="D35" s="216" t="s">
        <v>183</v>
      </c>
      <c r="E35" s="216" t="s">
        <v>663</v>
      </c>
      <c r="F35" s="216" t="s">
        <v>664</v>
      </c>
      <c r="G35" s="216" t="s">
        <v>665</v>
      </c>
      <c r="H35" s="216" t="s">
        <v>684</v>
      </c>
      <c r="K35" s="216" t="s">
        <v>685</v>
      </c>
      <c r="N35" s="263"/>
      <c r="O35" s="263"/>
      <c r="P35" s="263"/>
      <c r="Q35" s="216" t="s">
        <v>2517</v>
      </c>
      <c r="R35" s="216" t="s">
        <v>2518</v>
      </c>
    </row>
    <row r="36" spans="1:18" ht="23" x14ac:dyDescent="0.35">
      <c r="A36" s="216" t="s">
        <v>2058</v>
      </c>
      <c r="B36" s="216" t="s">
        <v>1365</v>
      </c>
      <c r="C36" s="216" t="s">
        <v>711</v>
      </c>
      <c r="D36" s="216" t="s">
        <v>183</v>
      </c>
      <c r="E36" s="216" t="s">
        <v>663</v>
      </c>
      <c r="F36" s="216" t="s">
        <v>664</v>
      </c>
      <c r="G36" s="216" t="s">
        <v>665</v>
      </c>
      <c r="H36" s="216" t="s">
        <v>684</v>
      </c>
      <c r="K36" s="216" t="s">
        <v>685</v>
      </c>
      <c r="N36" s="263"/>
      <c r="O36" s="263"/>
      <c r="P36" s="263"/>
      <c r="Q36" s="216" t="s">
        <v>2517</v>
      </c>
      <c r="R36" s="216" t="s">
        <v>2518</v>
      </c>
    </row>
    <row r="37" spans="1:18" ht="23" x14ac:dyDescent="0.35">
      <c r="A37" s="216" t="s">
        <v>2056</v>
      </c>
      <c r="B37" s="216" t="s">
        <v>1365</v>
      </c>
      <c r="C37" s="216" t="s">
        <v>1896</v>
      </c>
      <c r="D37" s="216" t="s">
        <v>183</v>
      </c>
      <c r="F37" s="216" t="s">
        <v>30</v>
      </c>
      <c r="G37" s="216" t="s">
        <v>171</v>
      </c>
      <c r="H37" s="216" t="s">
        <v>645</v>
      </c>
      <c r="I37" s="216" t="s">
        <v>833</v>
      </c>
      <c r="J37" s="216" t="s">
        <v>644</v>
      </c>
      <c r="K37" s="216" t="s">
        <v>211</v>
      </c>
      <c r="M37" s="216" t="s">
        <v>850</v>
      </c>
      <c r="N37" s="263">
        <v>3</v>
      </c>
      <c r="O37" s="263"/>
      <c r="P37" s="263"/>
    </row>
    <row r="38" spans="1:18" ht="23" x14ac:dyDescent="0.35">
      <c r="A38" s="216" t="s">
        <v>2056</v>
      </c>
      <c r="B38" s="216" t="s">
        <v>1365</v>
      </c>
      <c r="C38" s="216" t="s">
        <v>846</v>
      </c>
      <c r="D38" s="216" t="s">
        <v>159</v>
      </c>
      <c r="F38" s="216" t="s">
        <v>30</v>
      </c>
      <c r="G38" s="216" t="s">
        <v>171</v>
      </c>
      <c r="H38" s="216" t="s">
        <v>651</v>
      </c>
      <c r="I38" s="216" t="s">
        <v>847</v>
      </c>
      <c r="J38" s="216" t="s">
        <v>651</v>
      </c>
      <c r="K38" s="216" t="s">
        <v>278</v>
      </c>
      <c r="M38" s="216" t="s">
        <v>202</v>
      </c>
      <c r="N38" s="263">
        <v>3</v>
      </c>
      <c r="O38" s="263"/>
      <c r="P38" s="263"/>
    </row>
    <row r="39" spans="1:18" ht="23" x14ac:dyDescent="0.35">
      <c r="A39" s="216" t="s">
        <v>2056</v>
      </c>
      <c r="B39" s="216" t="s">
        <v>1365</v>
      </c>
      <c r="C39" s="216" t="s">
        <v>848</v>
      </c>
      <c r="D39" s="216" t="s">
        <v>159</v>
      </c>
      <c r="F39" s="216" t="s">
        <v>30</v>
      </c>
      <c r="G39" s="216" t="s">
        <v>171</v>
      </c>
      <c r="H39" s="216" t="s">
        <v>651</v>
      </c>
      <c r="I39" s="216" t="s">
        <v>849</v>
      </c>
      <c r="J39" s="216" t="s">
        <v>651</v>
      </c>
      <c r="K39" s="216" t="s">
        <v>278</v>
      </c>
      <c r="M39" s="216" t="s">
        <v>202</v>
      </c>
      <c r="N39" s="263">
        <v>3</v>
      </c>
      <c r="O39" s="263"/>
      <c r="P39" s="263"/>
    </row>
    <row r="40" spans="1:18" ht="23" x14ac:dyDescent="0.35">
      <c r="A40" s="216" t="s">
        <v>2056</v>
      </c>
      <c r="B40" s="216" t="s">
        <v>1365</v>
      </c>
      <c r="C40" s="216" t="s">
        <v>851</v>
      </c>
      <c r="D40" s="216" t="s">
        <v>159</v>
      </c>
      <c r="F40" s="216" t="s">
        <v>160</v>
      </c>
      <c r="G40" s="216" t="s">
        <v>249</v>
      </c>
      <c r="H40" s="216" t="s">
        <v>258</v>
      </c>
      <c r="I40" s="216" t="s">
        <v>841</v>
      </c>
      <c r="J40" s="216" t="s">
        <v>258</v>
      </c>
      <c r="K40" s="216">
        <v>1800</v>
      </c>
      <c r="N40" s="263"/>
      <c r="O40" s="263"/>
      <c r="P40" s="263"/>
      <c r="Q40" s="216" t="s">
        <v>843</v>
      </c>
      <c r="R40" s="216" t="s">
        <v>2392</v>
      </c>
    </row>
    <row r="41" spans="1:18" ht="23" x14ac:dyDescent="0.35">
      <c r="A41" s="216" t="s">
        <v>2056</v>
      </c>
      <c r="B41" s="216" t="s">
        <v>1365</v>
      </c>
      <c r="C41" s="216" t="s">
        <v>844</v>
      </c>
      <c r="D41" s="216" t="s">
        <v>183</v>
      </c>
      <c r="F41" s="216" t="s">
        <v>210</v>
      </c>
      <c r="G41" s="216" t="s">
        <v>834</v>
      </c>
      <c r="H41" s="216" t="s">
        <v>835</v>
      </c>
      <c r="I41" s="216" t="s">
        <v>171</v>
      </c>
      <c r="J41" s="216" t="s">
        <v>845</v>
      </c>
      <c r="K41" s="216">
        <v>2000</v>
      </c>
      <c r="N41" s="263"/>
      <c r="O41" s="263"/>
      <c r="P41" s="263"/>
      <c r="Q41" s="216" t="s">
        <v>835</v>
      </c>
      <c r="R41" s="216" t="s">
        <v>2398</v>
      </c>
    </row>
    <row r="42" spans="1:18" ht="23" x14ac:dyDescent="0.35">
      <c r="A42" s="216" t="s">
        <v>2055</v>
      </c>
      <c r="B42" s="216" t="s">
        <v>1365</v>
      </c>
      <c r="C42" s="216" t="s">
        <v>1708</v>
      </c>
      <c r="D42" s="216" t="s">
        <v>183</v>
      </c>
      <c r="F42" s="216" t="s">
        <v>210</v>
      </c>
      <c r="G42" s="216" t="s">
        <v>223</v>
      </c>
      <c r="H42" s="216" t="s">
        <v>646</v>
      </c>
      <c r="I42" s="216" t="s">
        <v>1590</v>
      </c>
      <c r="J42" s="216" t="s">
        <v>647</v>
      </c>
      <c r="K42" s="216">
        <v>2500</v>
      </c>
      <c r="M42" s="216" t="s">
        <v>850</v>
      </c>
      <c r="N42" s="263"/>
      <c r="O42" s="263">
        <v>1</v>
      </c>
      <c r="P42" s="263">
        <v>2</v>
      </c>
    </row>
    <row r="43" spans="1:18" ht="23" x14ac:dyDescent="0.35">
      <c r="A43" s="216" t="s">
        <v>2055</v>
      </c>
      <c r="B43" s="216" t="s">
        <v>1365</v>
      </c>
      <c r="C43" s="216" t="s">
        <v>277</v>
      </c>
      <c r="D43" s="216" t="s">
        <v>159</v>
      </c>
      <c r="F43" s="216" t="s">
        <v>30</v>
      </c>
      <c r="G43" s="216" t="s">
        <v>171</v>
      </c>
      <c r="H43" s="216" t="s">
        <v>651</v>
      </c>
      <c r="I43" s="216" t="s">
        <v>1612</v>
      </c>
      <c r="J43" s="216" t="s">
        <v>651</v>
      </c>
      <c r="K43" s="216" t="s">
        <v>278</v>
      </c>
      <c r="M43" s="216" t="s">
        <v>202</v>
      </c>
      <c r="N43" s="263">
        <v>1</v>
      </c>
      <c r="O43" s="263">
        <v>2</v>
      </c>
      <c r="P43" s="263"/>
    </row>
    <row r="44" spans="1:18" ht="23" x14ac:dyDescent="0.35">
      <c r="A44" s="216" t="s">
        <v>2055</v>
      </c>
      <c r="B44" s="216" t="s">
        <v>1365</v>
      </c>
      <c r="C44" s="216" t="s">
        <v>277</v>
      </c>
      <c r="D44" s="216" t="s">
        <v>159</v>
      </c>
      <c r="F44" s="216" t="s">
        <v>30</v>
      </c>
      <c r="G44" s="216" t="s">
        <v>171</v>
      </c>
      <c r="H44" s="216" t="s">
        <v>651</v>
      </c>
      <c r="I44" s="216" t="s">
        <v>1595</v>
      </c>
      <c r="J44" s="216" t="s">
        <v>651</v>
      </c>
      <c r="K44" s="216" t="s">
        <v>278</v>
      </c>
      <c r="M44" s="216" t="s">
        <v>202</v>
      </c>
      <c r="N44" s="263">
        <v>1</v>
      </c>
      <c r="O44" s="263">
        <v>2</v>
      </c>
      <c r="P44" s="263"/>
    </row>
    <row r="45" spans="1:18" ht="23" x14ac:dyDescent="0.35">
      <c r="A45" s="216" t="s">
        <v>2055</v>
      </c>
      <c r="B45" s="216" t="s">
        <v>1365</v>
      </c>
      <c r="C45" s="216" t="s">
        <v>281</v>
      </c>
      <c r="D45" s="216" t="s">
        <v>159</v>
      </c>
      <c r="F45" s="216" t="s">
        <v>160</v>
      </c>
      <c r="G45" s="216" t="s">
        <v>171</v>
      </c>
      <c r="H45" s="216" t="s">
        <v>163</v>
      </c>
      <c r="I45" s="216" t="s">
        <v>1679</v>
      </c>
      <c r="J45" s="216" t="s">
        <v>163</v>
      </c>
      <c r="K45" s="216">
        <v>1500</v>
      </c>
      <c r="M45" s="216" t="s">
        <v>178</v>
      </c>
      <c r="N45" s="263">
        <v>2</v>
      </c>
      <c r="O45" s="263">
        <v>2</v>
      </c>
      <c r="P45" s="263"/>
    </row>
    <row r="46" spans="1:18" ht="23" x14ac:dyDescent="0.35">
      <c r="A46" s="216" t="s">
        <v>2055</v>
      </c>
      <c r="B46" s="216" t="s">
        <v>1365</v>
      </c>
      <c r="C46" s="216" t="s">
        <v>281</v>
      </c>
      <c r="D46" s="216" t="s">
        <v>159</v>
      </c>
      <c r="F46" s="216" t="s">
        <v>160</v>
      </c>
      <c r="G46" s="216" t="s">
        <v>171</v>
      </c>
      <c r="H46" s="216" t="s">
        <v>163</v>
      </c>
      <c r="I46" s="216" t="s">
        <v>1599</v>
      </c>
      <c r="J46" s="216" t="s">
        <v>163</v>
      </c>
      <c r="K46" s="216">
        <v>1500</v>
      </c>
      <c r="M46" s="216" t="s">
        <v>178</v>
      </c>
      <c r="N46" s="263">
        <v>2</v>
      </c>
      <c r="O46" s="263">
        <v>2</v>
      </c>
      <c r="P46" s="263"/>
    </row>
    <row r="47" spans="1:18" ht="23" x14ac:dyDescent="0.35">
      <c r="A47" s="216" t="s">
        <v>2825</v>
      </c>
      <c r="B47" s="216" t="s">
        <v>158</v>
      </c>
      <c r="C47" s="216" t="s">
        <v>204</v>
      </c>
      <c r="D47" s="216" t="s">
        <v>183</v>
      </c>
      <c r="F47" s="216" t="s">
        <v>184</v>
      </c>
      <c r="G47" s="216" t="s">
        <v>203</v>
      </c>
      <c r="H47" s="216" t="s">
        <v>197</v>
      </c>
      <c r="K47" s="216">
        <v>3500</v>
      </c>
      <c r="M47" s="216" t="s">
        <v>182</v>
      </c>
      <c r="N47" s="230">
        <v>1</v>
      </c>
      <c r="O47" s="233">
        <v>1</v>
      </c>
      <c r="P47" s="236">
        <v>1</v>
      </c>
    </row>
    <row r="48" spans="1:18" ht="23" x14ac:dyDescent="0.35">
      <c r="A48" s="216" t="s">
        <v>2825</v>
      </c>
      <c r="B48" s="216" t="s">
        <v>158</v>
      </c>
      <c r="C48" s="216" t="s">
        <v>175</v>
      </c>
      <c r="D48" s="216" t="s">
        <v>159</v>
      </c>
      <c r="F48" s="216" t="s">
        <v>160</v>
      </c>
      <c r="G48" s="216" t="s">
        <v>164</v>
      </c>
      <c r="H48" s="216" t="s">
        <v>163</v>
      </c>
      <c r="I48" s="216" t="s">
        <v>165</v>
      </c>
      <c r="J48" s="216" t="s">
        <v>163</v>
      </c>
      <c r="K48" s="216">
        <v>1500</v>
      </c>
      <c r="M48" s="216" t="s">
        <v>850</v>
      </c>
      <c r="Q48" s="216" t="s">
        <v>895</v>
      </c>
      <c r="R48" s="216" t="s">
        <v>2965</v>
      </c>
    </row>
    <row r="49" spans="1:18" ht="23" x14ac:dyDescent="0.35">
      <c r="A49" s="216" t="s">
        <v>2825</v>
      </c>
      <c r="B49" s="216" t="s">
        <v>158</v>
      </c>
      <c r="C49" s="216" t="s">
        <v>172</v>
      </c>
      <c r="D49" s="216" t="s">
        <v>159</v>
      </c>
      <c r="F49" s="216" t="s">
        <v>30</v>
      </c>
      <c r="G49" s="216" t="s">
        <v>168</v>
      </c>
      <c r="H49" s="216" t="s">
        <v>652</v>
      </c>
      <c r="I49" s="216" t="s">
        <v>177</v>
      </c>
      <c r="J49" s="216" t="s">
        <v>652</v>
      </c>
      <c r="K49" s="216">
        <v>1500</v>
      </c>
      <c r="M49" s="216" t="s">
        <v>178</v>
      </c>
      <c r="N49" s="230">
        <v>1</v>
      </c>
      <c r="O49" s="233">
        <v>1</v>
      </c>
    </row>
    <row r="50" spans="1:18" ht="23" x14ac:dyDescent="0.35">
      <c r="A50" s="216" t="s">
        <v>2825</v>
      </c>
      <c r="B50" s="216" t="s">
        <v>158</v>
      </c>
      <c r="C50" s="216" t="s">
        <v>199</v>
      </c>
      <c r="D50" s="216" t="s">
        <v>183</v>
      </c>
      <c r="F50" s="216" t="s">
        <v>184</v>
      </c>
      <c r="G50" s="216" t="s">
        <v>200</v>
      </c>
      <c r="H50" s="216" t="s">
        <v>197</v>
      </c>
      <c r="K50" s="216">
        <v>3500</v>
      </c>
      <c r="M50" s="216" t="s">
        <v>178</v>
      </c>
      <c r="N50" s="230">
        <v>2</v>
      </c>
      <c r="Q50" s="216" t="s">
        <v>1901</v>
      </c>
    </row>
    <row r="51" spans="1:18" ht="23" x14ac:dyDescent="0.35">
      <c r="A51" s="216" t="s">
        <v>2825</v>
      </c>
      <c r="B51" s="216" t="s">
        <v>158</v>
      </c>
      <c r="C51" s="216" t="s">
        <v>174</v>
      </c>
      <c r="D51" s="216" t="s">
        <v>159</v>
      </c>
      <c r="F51" s="216" t="s">
        <v>160</v>
      </c>
      <c r="G51" s="216" t="s">
        <v>168</v>
      </c>
      <c r="H51" s="216" t="s">
        <v>163</v>
      </c>
      <c r="I51" s="216" t="s">
        <v>169</v>
      </c>
      <c r="J51" s="216" t="s">
        <v>163</v>
      </c>
      <c r="K51" s="216">
        <v>1500</v>
      </c>
      <c r="M51" s="216" t="s">
        <v>850</v>
      </c>
      <c r="Q51" s="216" t="s">
        <v>895</v>
      </c>
      <c r="R51" s="216" t="s">
        <v>2965</v>
      </c>
    </row>
    <row r="52" spans="1:18" ht="23" x14ac:dyDescent="0.35">
      <c r="A52" s="216" t="s">
        <v>2825</v>
      </c>
      <c r="B52" s="216" t="s">
        <v>158</v>
      </c>
      <c r="C52" s="216" t="s">
        <v>188</v>
      </c>
      <c r="D52" s="216" t="s">
        <v>183</v>
      </c>
      <c r="F52" s="216" t="s">
        <v>184</v>
      </c>
      <c r="G52" s="216" t="s">
        <v>189</v>
      </c>
      <c r="H52" s="216" t="s">
        <v>187</v>
      </c>
      <c r="K52" s="216">
        <v>2800</v>
      </c>
      <c r="M52" s="216" t="s">
        <v>850</v>
      </c>
      <c r="O52" s="233">
        <v>2</v>
      </c>
      <c r="Q52" s="216" t="s">
        <v>1903</v>
      </c>
    </row>
    <row r="53" spans="1:18" ht="23" x14ac:dyDescent="0.35">
      <c r="A53" s="216" t="s">
        <v>2825</v>
      </c>
      <c r="B53" s="216" t="s">
        <v>158</v>
      </c>
      <c r="C53" s="216" t="s">
        <v>176</v>
      </c>
      <c r="D53" s="216" t="s">
        <v>159</v>
      </c>
      <c r="F53" s="216" t="s">
        <v>160</v>
      </c>
      <c r="G53" s="216" t="s">
        <v>166</v>
      </c>
      <c r="H53" s="216" t="s">
        <v>163</v>
      </c>
      <c r="I53" s="216" t="s">
        <v>167</v>
      </c>
      <c r="J53" s="216" t="s">
        <v>163</v>
      </c>
      <c r="K53" s="216">
        <v>1500</v>
      </c>
      <c r="M53" s="216" t="s">
        <v>850</v>
      </c>
      <c r="Q53" s="216" t="s">
        <v>895</v>
      </c>
      <c r="R53" s="216" t="s">
        <v>2965</v>
      </c>
    </row>
    <row r="54" spans="1:18" ht="23" x14ac:dyDescent="0.35">
      <c r="A54" s="216" t="s">
        <v>2825</v>
      </c>
      <c r="B54" s="216" t="s">
        <v>158</v>
      </c>
      <c r="C54" s="216" t="s">
        <v>191</v>
      </c>
      <c r="D54" s="216" t="s">
        <v>183</v>
      </c>
      <c r="F54" s="216" t="s">
        <v>184</v>
      </c>
      <c r="G54" s="216" t="s">
        <v>170</v>
      </c>
      <c r="H54" s="216" t="s">
        <v>187</v>
      </c>
      <c r="K54" s="216">
        <v>3000</v>
      </c>
      <c r="Q54" s="216" t="s">
        <v>192</v>
      </c>
      <c r="R54" s="216" t="s">
        <v>2539</v>
      </c>
    </row>
    <row r="55" spans="1:18" ht="23" x14ac:dyDescent="0.35">
      <c r="A55" s="216" t="s">
        <v>2825</v>
      </c>
      <c r="B55" s="216" t="s">
        <v>158</v>
      </c>
      <c r="C55" s="216" t="s">
        <v>179</v>
      </c>
      <c r="D55" s="216" t="s">
        <v>159</v>
      </c>
      <c r="F55" s="216" t="s">
        <v>30</v>
      </c>
      <c r="G55" s="216" t="s">
        <v>180</v>
      </c>
      <c r="H55" s="216" t="s">
        <v>653</v>
      </c>
      <c r="I55" s="216" t="s">
        <v>181</v>
      </c>
      <c r="J55" s="216" t="s">
        <v>653</v>
      </c>
      <c r="K55" s="216">
        <v>1800</v>
      </c>
      <c r="M55" s="216" t="s">
        <v>182</v>
      </c>
      <c r="N55" s="230">
        <v>2</v>
      </c>
      <c r="P55" s="236">
        <v>1</v>
      </c>
    </row>
    <row r="56" spans="1:18" ht="23" x14ac:dyDescent="0.35">
      <c r="A56" s="216" t="s">
        <v>2825</v>
      </c>
      <c r="B56" s="216" t="s">
        <v>158</v>
      </c>
      <c r="C56" s="216" t="s">
        <v>185</v>
      </c>
      <c r="D56" s="216" t="s">
        <v>183</v>
      </c>
      <c r="F56" s="216" t="s">
        <v>184</v>
      </c>
      <c r="G56" s="216" t="s">
        <v>186</v>
      </c>
      <c r="H56" s="216" t="s">
        <v>187</v>
      </c>
      <c r="K56" s="216">
        <v>2800</v>
      </c>
      <c r="N56" s="230">
        <v>1</v>
      </c>
      <c r="O56" s="233">
        <v>2</v>
      </c>
    </row>
    <row r="57" spans="1:18" ht="23" x14ac:dyDescent="0.35">
      <c r="A57" s="216" t="s">
        <v>2825</v>
      </c>
      <c r="B57" s="216" t="s">
        <v>158</v>
      </c>
      <c r="C57" s="216" t="s">
        <v>157</v>
      </c>
      <c r="D57" s="216" t="s">
        <v>159</v>
      </c>
      <c r="F57" s="216" t="s">
        <v>160</v>
      </c>
      <c r="G57" s="216" t="s">
        <v>161</v>
      </c>
      <c r="H57" s="216" t="s">
        <v>163</v>
      </c>
      <c r="I57" s="216" t="s">
        <v>162</v>
      </c>
      <c r="J57" s="216" t="s">
        <v>163</v>
      </c>
      <c r="K57" s="216">
        <v>1500</v>
      </c>
      <c r="M57" s="216" t="s">
        <v>850</v>
      </c>
      <c r="Q57" s="216" t="s">
        <v>895</v>
      </c>
      <c r="R57" s="216" t="s">
        <v>2965</v>
      </c>
    </row>
    <row r="58" spans="1:18" ht="23" x14ac:dyDescent="0.35">
      <c r="A58" s="216" t="s">
        <v>2825</v>
      </c>
      <c r="B58" s="216" t="s">
        <v>158</v>
      </c>
      <c r="C58" s="216" t="s">
        <v>173</v>
      </c>
      <c r="D58" s="216" t="s">
        <v>159</v>
      </c>
      <c r="F58" s="216" t="s">
        <v>160</v>
      </c>
      <c r="G58" s="216" t="s">
        <v>170</v>
      </c>
      <c r="H58" s="216" t="s">
        <v>163</v>
      </c>
      <c r="I58" s="216" t="s">
        <v>171</v>
      </c>
      <c r="J58" s="216" t="s">
        <v>163</v>
      </c>
      <c r="K58" s="216">
        <v>1800</v>
      </c>
      <c r="Q58" s="216" t="s">
        <v>895</v>
      </c>
      <c r="R58" s="216" t="s">
        <v>2965</v>
      </c>
    </row>
    <row r="59" spans="1:18" ht="23" x14ac:dyDescent="0.35">
      <c r="A59" s="216" t="s">
        <v>2825</v>
      </c>
      <c r="B59" s="216" t="s">
        <v>158</v>
      </c>
      <c r="C59" s="216" t="s">
        <v>194</v>
      </c>
      <c r="D59" s="216" t="s">
        <v>183</v>
      </c>
      <c r="F59" s="216" t="s">
        <v>184</v>
      </c>
      <c r="G59" s="216" t="s">
        <v>162</v>
      </c>
      <c r="H59" s="216" t="s">
        <v>187</v>
      </c>
      <c r="K59" s="216">
        <v>3000</v>
      </c>
      <c r="Q59" s="216" t="s">
        <v>192</v>
      </c>
      <c r="R59" s="216" t="s">
        <v>2643</v>
      </c>
    </row>
    <row r="60" spans="1:18" ht="23" x14ac:dyDescent="0.35">
      <c r="A60" s="216" t="s">
        <v>2825</v>
      </c>
      <c r="B60" s="216" t="s">
        <v>158</v>
      </c>
      <c r="C60" s="216" t="s">
        <v>193</v>
      </c>
      <c r="D60" s="216" t="s">
        <v>183</v>
      </c>
      <c r="F60" s="216" t="s">
        <v>184</v>
      </c>
      <c r="G60" s="216" t="s">
        <v>171</v>
      </c>
      <c r="H60" s="216" t="s">
        <v>187</v>
      </c>
      <c r="K60" s="216">
        <v>3000</v>
      </c>
      <c r="Q60" s="216" t="s">
        <v>192</v>
      </c>
      <c r="R60" s="216" t="s">
        <v>2540</v>
      </c>
    </row>
    <row r="61" spans="1:18" ht="23" x14ac:dyDescent="0.35">
      <c r="A61" s="216" t="s">
        <v>2825</v>
      </c>
      <c r="B61" s="216" t="s">
        <v>158</v>
      </c>
      <c r="C61" s="216" t="s">
        <v>216</v>
      </c>
      <c r="D61" s="216" t="s">
        <v>183</v>
      </c>
      <c r="E61" s="216" t="s">
        <v>159</v>
      </c>
      <c r="F61" s="216" t="s">
        <v>210</v>
      </c>
      <c r="G61" s="216" t="s">
        <v>217</v>
      </c>
      <c r="H61" s="216" t="s">
        <v>658</v>
      </c>
      <c r="I61" s="216" t="s">
        <v>212</v>
      </c>
      <c r="J61" s="216" t="s">
        <v>657</v>
      </c>
      <c r="K61" s="216">
        <v>2500</v>
      </c>
      <c r="M61" s="216" t="s">
        <v>850</v>
      </c>
      <c r="P61" s="236">
        <v>2</v>
      </c>
    </row>
    <row r="62" spans="1:18" ht="23" x14ac:dyDescent="0.35">
      <c r="A62" s="216" t="s">
        <v>2825</v>
      </c>
      <c r="B62" s="216" t="s">
        <v>158</v>
      </c>
      <c r="C62" s="216" t="s">
        <v>190</v>
      </c>
      <c r="D62" s="216" t="s">
        <v>183</v>
      </c>
      <c r="F62" s="216" t="s">
        <v>184</v>
      </c>
      <c r="G62" s="216" t="s">
        <v>233</v>
      </c>
      <c r="H62" s="216" t="s">
        <v>187</v>
      </c>
      <c r="K62" s="216">
        <v>2800</v>
      </c>
      <c r="M62" s="216" t="s">
        <v>182</v>
      </c>
      <c r="P62" s="236">
        <v>2</v>
      </c>
      <c r="Q62" s="216" t="s">
        <v>1900</v>
      </c>
    </row>
    <row r="63" spans="1:18" ht="23" x14ac:dyDescent="0.35">
      <c r="A63" s="216" t="s">
        <v>2825</v>
      </c>
      <c r="B63" s="216" t="s">
        <v>158</v>
      </c>
      <c r="C63" s="216" t="s">
        <v>213</v>
      </c>
      <c r="D63" s="216" t="s">
        <v>183</v>
      </c>
      <c r="E63" s="216" t="s">
        <v>159</v>
      </c>
      <c r="F63" s="216" t="s">
        <v>30</v>
      </c>
      <c r="G63" s="216" t="s">
        <v>168</v>
      </c>
      <c r="H63" s="216" t="s">
        <v>638</v>
      </c>
      <c r="I63" s="216" t="s">
        <v>189</v>
      </c>
      <c r="J63" s="216" t="s">
        <v>643</v>
      </c>
      <c r="K63" s="216">
        <v>2500</v>
      </c>
      <c r="M63" s="216" t="s">
        <v>178</v>
      </c>
      <c r="N63" s="230">
        <v>2</v>
      </c>
    </row>
    <row r="64" spans="1:18" ht="23" x14ac:dyDescent="0.35">
      <c r="A64" s="216" t="s">
        <v>2825</v>
      </c>
      <c r="B64" s="216" t="s">
        <v>158</v>
      </c>
      <c r="C64" s="216" t="s">
        <v>214</v>
      </c>
      <c r="D64" s="216" t="s">
        <v>183</v>
      </c>
      <c r="E64" s="216" t="s">
        <v>159</v>
      </c>
      <c r="F64" s="216" t="s">
        <v>30</v>
      </c>
      <c r="G64" s="216" t="s">
        <v>168</v>
      </c>
      <c r="H64" s="216" t="s">
        <v>638</v>
      </c>
      <c r="I64" s="216" t="s">
        <v>212</v>
      </c>
      <c r="J64" s="216" t="s">
        <v>643</v>
      </c>
      <c r="K64" s="216">
        <v>2500</v>
      </c>
      <c r="M64" s="216" t="s">
        <v>178</v>
      </c>
      <c r="N64" s="230">
        <v>2</v>
      </c>
    </row>
    <row r="65" spans="1:18" ht="23" x14ac:dyDescent="0.35">
      <c r="A65" s="216" t="s">
        <v>2825</v>
      </c>
      <c r="B65" s="216" t="s">
        <v>158</v>
      </c>
      <c r="C65" s="216" t="s">
        <v>215</v>
      </c>
      <c r="D65" s="216" t="s">
        <v>183</v>
      </c>
      <c r="F65" s="216" t="s">
        <v>30</v>
      </c>
      <c r="G65" s="216" t="s">
        <v>171</v>
      </c>
      <c r="H65" s="216" t="s">
        <v>644</v>
      </c>
      <c r="I65" s="216" t="s">
        <v>164</v>
      </c>
      <c r="J65" s="216" t="s">
        <v>645</v>
      </c>
      <c r="K65" s="216" t="s">
        <v>211</v>
      </c>
      <c r="N65" s="230">
        <v>1</v>
      </c>
      <c r="O65" s="233">
        <v>1</v>
      </c>
      <c r="P65" s="236">
        <v>1</v>
      </c>
    </row>
    <row r="66" spans="1:18" ht="23" x14ac:dyDescent="0.35">
      <c r="A66" s="216" t="s">
        <v>2825</v>
      </c>
      <c r="B66" s="216" t="s">
        <v>158</v>
      </c>
      <c r="C66" s="216" t="s">
        <v>195</v>
      </c>
      <c r="D66" s="216" t="s">
        <v>183</v>
      </c>
      <c r="E66" s="216" t="s">
        <v>159</v>
      </c>
      <c r="F66" s="216" t="s">
        <v>184</v>
      </c>
      <c r="G66" s="216" t="s">
        <v>196</v>
      </c>
      <c r="H66" s="216" t="s">
        <v>197</v>
      </c>
      <c r="K66" s="216">
        <v>3500</v>
      </c>
      <c r="M66" s="216" t="s">
        <v>198</v>
      </c>
      <c r="Q66" s="216" t="s">
        <v>1902</v>
      </c>
    </row>
    <row r="67" spans="1:18" ht="23" x14ac:dyDescent="0.35">
      <c r="A67" s="216" t="s">
        <v>2825</v>
      </c>
      <c r="B67" s="216" t="s">
        <v>158</v>
      </c>
      <c r="C67" s="216" t="s">
        <v>206</v>
      </c>
      <c r="D67" s="216" t="s">
        <v>183</v>
      </c>
      <c r="F67" s="216" t="s">
        <v>184</v>
      </c>
      <c r="G67" s="216" t="s">
        <v>205</v>
      </c>
      <c r="H67" s="216" t="s">
        <v>197</v>
      </c>
      <c r="K67" s="216">
        <v>3500</v>
      </c>
      <c r="Q67" s="216" t="s">
        <v>1902</v>
      </c>
    </row>
    <row r="68" spans="1:18" ht="23" x14ac:dyDescent="0.35">
      <c r="A68" s="216" t="s">
        <v>2825</v>
      </c>
      <c r="B68" s="216" t="s">
        <v>158</v>
      </c>
      <c r="C68" s="216" t="s">
        <v>201</v>
      </c>
      <c r="D68" s="216" t="s">
        <v>183</v>
      </c>
      <c r="F68" s="216" t="s">
        <v>184</v>
      </c>
      <c r="G68" s="216" t="s">
        <v>166</v>
      </c>
      <c r="H68" s="216" t="s">
        <v>197</v>
      </c>
      <c r="K68" s="216">
        <v>3500</v>
      </c>
      <c r="M68" s="216" t="s">
        <v>202</v>
      </c>
      <c r="O68" s="233">
        <v>2</v>
      </c>
      <c r="P68" s="236">
        <v>2</v>
      </c>
      <c r="Q68" s="216" t="s">
        <v>1904</v>
      </c>
    </row>
    <row r="69" spans="1:18" ht="23" x14ac:dyDescent="0.35">
      <c r="A69" s="216" t="s">
        <v>2825</v>
      </c>
      <c r="B69" s="216" t="s">
        <v>158</v>
      </c>
      <c r="C69" s="216" t="s">
        <v>219</v>
      </c>
      <c r="D69" s="216" t="s">
        <v>183</v>
      </c>
      <c r="F69" s="216" t="s">
        <v>210</v>
      </c>
      <c r="G69" s="216" t="s">
        <v>168</v>
      </c>
      <c r="H69" s="216" t="s">
        <v>660</v>
      </c>
      <c r="I69" s="216" t="s">
        <v>220</v>
      </c>
      <c r="J69" s="216" t="s">
        <v>661</v>
      </c>
      <c r="K69" s="216">
        <v>3000</v>
      </c>
      <c r="M69" s="216" t="s">
        <v>182</v>
      </c>
      <c r="P69" s="236">
        <v>2</v>
      </c>
      <c r="Q69" s="216" t="s">
        <v>1900</v>
      </c>
    </row>
    <row r="70" spans="1:18" ht="23" x14ac:dyDescent="0.35">
      <c r="A70" s="216" t="s">
        <v>2825</v>
      </c>
      <c r="B70" s="216" t="s">
        <v>158</v>
      </c>
      <c r="C70" s="216" t="s">
        <v>218</v>
      </c>
      <c r="D70" s="216" t="s">
        <v>183</v>
      </c>
      <c r="F70" s="216" t="s">
        <v>210</v>
      </c>
      <c r="G70" s="216" t="s">
        <v>168</v>
      </c>
      <c r="H70" s="216" t="s">
        <v>647</v>
      </c>
      <c r="I70" s="216" t="s">
        <v>170</v>
      </c>
      <c r="J70" s="216" t="s">
        <v>656</v>
      </c>
      <c r="K70" s="216">
        <v>2500</v>
      </c>
      <c r="M70" s="216" t="s">
        <v>178</v>
      </c>
      <c r="N70" s="230">
        <v>1</v>
      </c>
      <c r="P70" s="236">
        <v>1</v>
      </c>
    </row>
    <row r="71" spans="1:18" ht="23" x14ac:dyDescent="0.35">
      <c r="A71" s="216" t="s">
        <v>2825</v>
      </c>
      <c r="B71" s="216" t="s">
        <v>158</v>
      </c>
      <c r="C71" s="216" t="s">
        <v>209</v>
      </c>
      <c r="D71" s="216" t="s">
        <v>183</v>
      </c>
      <c r="F71" s="216" t="s">
        <v>184</v>
      </c>
      <c r="G71" s="216" t="s">
        <v>207</v>
      </c>
      <c r="H71" s="216" t="s">
        <v>187</v>
      </c>
      <c r="K71" s="216">
        <v>4000</v>
      </c>
      <c r="M71" s="216" t="s">
        <v>178</v>
      </c>
      <c r="Q71" s="216" t="s">
        <v>208</v>
      </c>
      <c r="R71" s="216" t="s">
        <v>2395</v>
      </c>
    </row>
    <row r="72" spans="1:18" ht="23" x14ac:dyDescent="0.35">
      <c r="A72" s="216" t="s">
        <v>2057</v>
      </c>
      <c r="B72" s="216" t="s">
        <v>158</v>
      </c>
      <c r="C72" s="216" t="s">
        <v>612</v>
      </c>
      <c r="D72" s="216" t="s">
        <v>183</v>
      </c>
      <c r="F72" s="216" t="s">
        <v>210</v>
      </c>
      <c r="G72" s="216" t="s">
        <v>161</v>
      </c>
      <c r="H72" s="216" t="s">
        <v>659</v>
      </c>
      <c r="I72" s="216" t="s">
        <v>162</v>
      </c>
      <c r="J72" s="216" t="s">
        <v>657</v>
      </c>
      <c r="K72" s="216">
        <v>1000</v>
      </c>
      <c r="L72" s="216" t="s">
        <v>613</v>
      </c>
      <c r="N72" s="263"/>
      <c r="O72" s="263">
        <v>2</v>
      </c>
      <c r="P72" s="263"/>
      <c r="Q72" s="216" t="s">
        <v>1903</v>
      </c>
    </row>
    <row r="73" spans="1:18" ht="23" x14ac:dyDescent="0.35">
      <c r="A73" s="216" t="s">
        <v>2057</v>
      </c>
      <c r="B73" s="216" t="s">
        <v>158</v>
      </c>
      <c r="C73" s="216" t="s">
        <v>614</v>
      </c>
      <c r="D73" s="216" t="s">
        <v>183</v>
      </c>
      <c r="F73" s="216" t="s">
        <v>184</v>
      </c>
      <c r="G73" s="216" t="s">
        <v>212</v>
      </c>
      <c r="H73" s="216" t="s">
        <v>187</v>
      </c>
      <c r="K73" s="216">
        <v>500</v>
      </c>
      <c r="L73" s="216" t="s">
        <v>615</v>
      </c>
      <c r="M73" s="216" t="s">
        <v>850</v>
      </c>
      <c r="N73" s="263"/>
      <c r="O73" s="263"/>
      <c r="P73" s="263">
        <v>2</v>
      </c>
    </row>
    <row r="74" spans="1:18" ht="23" x14ac:dyDescent="0.35">
      <c r="A74" s="216" t="s">
        <v>2057</v>
      </c>
      <c r="B74" s="216" t="s">
        <v>158</v>
      </c>
      <c r="C74" s="216" t="s">
        <v>617</v>
      </c>
      <c r="D74" s="216" t="s">
        <v>183</v>
      </c>
      <c r="F74" s="216" t="s">
        <v>184</v>
      </c>
      <c r="G74" s="216" t="s">
        <v>203</v>
      </c>
      <c r="H74" s="216" t="s">
        <v>187</v>
      </c>
      <c r="K74" s="216">
        <v>500</v>
      </c>
      <c r="L74" s="216" t="s">
        <v>615</v>
      </c>
      <c r="M74" s="216" t="s">
        <v>182</v>
      </c>
      <c r="N74" s="263"/>
      <c r="O74" s="263"/>
      <c r="P74" s="263">
        <v>2</v>
      </c>
    </row>
    <row r="75" spans="1:18" ht="23" x14ac:dyDescent="0.35">
      <c r="A75" s="216" t="s">
        <v>2057</v>
      </c>
      <c r="B75" s="216" t="s">
        <v>158</v>
      </c>
      <c r="C75" s="216" t="s">
        <v>618</v>
      </c>
      <c r="D75" s="216" t="s">
        <v>183</v>
      </c>
      <c r="F75" s="216" t="s">
        <v>184</v>
      </c>
      <c r="G75" s="216" t="s">
        <v>168</v>
      </c>
      <c r="H75" s="216" t="s">
        <v>197</v>
      </c>
      <c r="K75" s="216">
        <v>300</v>
      </c>
      <c r="L75" s="216" t="s">
        <v>609</v>
      </c>
      <c r="M75" s="216" t="s">
        <v>178</v>
      </c>
      <c r="N75" s="263">
        <v>2</v>
      </c>
      <c r="O75" s="263"/>
      <c r="P75" s="263"/>
    </row>
    <row r="76" spans="1:18" ht="23" x14ac:dyDescent="0.35">
      <c r="A76" s="216" t="s">
        <v>2057</v>
      </c>
      <c r="B76" s="216" t="s">
        <v>158</v>
      </c>
      <c r="C76" s="216" t="s">
        <v>616</v>
      </c>
      <c r="D76" s="216" t="s">
        <v>183</v>
      </c>
      <c r="F76" s="216" t="s">
        <v>184</v>
      </c>
      <c r="G76" s="216" t="s">
        <v>241</v>
      </c>
      <c r="H76" s="216" t="s">
        <v>187</v>
      </c>
      <c r="K76" s="216">
        <v>500</v>
      </c>
      <c r="L76" s="216" t="s">
        <v>615</v>
      </c>
      <c r="M76" s="216" t="s">
        <v>850</v>
      </c>
      <c r="N76" s="263"/>
      <c r="O76" s="263"/>
      <c r="P76" s="263">
        <v>2</v>
      </c>
    </row>
    <row r="77" spans="1:18" ht="23" x14ac:dyDescent="0.35">
      <c r="A77" s="216" t="s">
        <v>2058</v>
      </c>
      <c r="B77" s="216" t="s">
        <v>158</v>
      </c>
      <c r="C77" s="216" t="s">
        <v>1367</v>
      </c>
      <c r="D77" s="216" t="s">
        <v>183</v>
      </c>
      <c r="E77" s="216" t="s">
        <v>663</v>
      </c>
      <c r="F77" s="216" t="s">
        <v>664</v>
      </c>
      <c r="G77" s="216" t="s">
        <v>665</v>
      </c>
      <c r="H77" s="216" t="s">
        <v>667</v>
      </c>
      <c r="K77" s="216" t="s">
        <v>669</v>
      </c>
      <c r="N77" s="263"/>
      <c r="O77" s="263"/>
      <c r="P77" s="263"/>
      <c r="Q77" s="216" t="s">
        <v>2517</v>
      </c>
      <c r="R77" s="216" t="s">
        <v>2518</v>
      </c>
    </row>
    <row r="78" spans="1:18" ht="23" x14ac:dyDescent="0.35">
      <c r="A78" s="216" t="s">
        <v>2058</v>
      </c>
      <c r="B78" s="216" t="s">
        <v>158</v>
      </c>
      <c r="C78" s="216" t="s">
        <v>1367</v>
      </c>
      <c r="D78" s="216" t="s">
        <v>183</v>
      </c>
      <c r="E78" s="216" t="s">
        <v>663</v>
      </c>
      <c r="F78" s="216" t="s">
        <v>664</v>
      </c>
      <c r="G78" s="216" t="s">
        <v>665</v>
      </c>
      <c r="H78" s="216" t="s">
        <v>667</v>
      </c>
      <c r="K78" s="216" t="s">
        <v>669</v>
      </c>
      <c r="N78" s="263"/>
      <c r="O78" s="263"/>
      <c r="P78" s="263"/>
      <c r="Q78" s="216" t="s">
        <v>2517</v>
      </c>
      <c r="R78" s="216" t="s">
        <v>2518</v>
      </c>
    </row>
    <row r="79" spans="1:18" ht="23" x14ac:dyDescent="0.35">
      <c r="A79" s="216" t="s">
        <v>2058</v>
      </c>
      <c r="B79" s="216" t="s">
        <v>158</v>
      </c>
      <c r="C79" s="216" t="s">
        <v>1367</v>
      </c>
      <c r="D79" s="216" t="s">
        <v>183</v>
      </c>
      <c r="E79" s="216" t="s">
        <v>663</v>
      </c>
      <c r="F79" s="216" t="s">
        <v>664</v>
      </c>
      <c r="G79" s="216" t="s">
        <v>665</v>
      </c>
      <c r="H79" s="216" t="s">
        <v>667</v>
      </c>
      <c r="K79" s="216" t="s">
        <v>669</v>
      </c>
      <c r="N79" s="263"/>
      <c r="O79" s="263"/>
      <c r="P79" s="263"/>
      <c r="Q79" s="216" t="s">
        <v>2517</v>
      </c>
      <c r="R79" s="216" t="s">
        <v>2518</v>
      </c>
    </row>
    <row r="80" spans="1:18" ht="23" x14ac:dyDescent="0.35">
      <c r="A80" s="216" t="s">
        <v>2058</v>
      </c>
      <c r="B80" s="216" t="s">
        <v>158</v>
      </c>
      <c r="C80" s="216" t="s">
        <v>1367</v>
      </c>
      <c r="D80" s="216" t="s">
        <v>183</v>
      </c>
      <c r="E80" s="216" t="s">
        <v>663</v>
      </c>
      <c r="F80" s="216" t="s">
        <v>664</v>
      </c>
      <c r="G80" s="216" t="s">
        <v>665</v>
      </c>
      <c r="H80" s="216" t="s">
        <v>667</v>
      </c>
      <c r="K80" s="216" t="s">
        <v>669</v>
      </c>
      <c r="N80" s="263"/>
      <c r="O80" s="263"/>
      <c r="P80" s="263"/>
      <c r="Q80" s="216" t="s">
        <v>2517</v>
      </c>
      <c r="R80" s="216" t="s">
        <v>2518</v>
      </c>
    </row>
    <row r="81" spans="1:18" ht="23" x14ac:dyDescent="0.35">
      <c r="A81" s="216" t="s">
        <v>2058</v>
      </c>
      <c r="B81" s="216" t="s">
        <v>158</v>
      </c>
      <c r="C81" s="216" t="s">
        <v>1367</v>
      </c>
      <c r="D81" s="216" t="s">
        <v>183</v>
      </c>
      <c r="E81" s="216" t="s">
        <v>663</v>
      </c>
      <c r="F81" s="216" t="s">
        <v>664</v>
      </c>
      <c r="G81" s="216" t="s">
        <v>665</v>
      </c>
      <c r="H81" s="216" t="s">
        <v>667</v>
      </c>
      <c r="K81" s="216" t="s">
        <v>669</v>
      </c>
      <c r="N81" s="263"/>
      <c r="O81" s="263"/>
      <c r="P81" s="263"/>
      <c r="Q81" s="216" t="s">
        <v>2517</v>
      </c>
      <c r="R81" s="216" t="s">
        <v>2518</v>
      </c>
    </row>
    <row r="82" spans="1:18" ht="23" x14ac:dyDescent="0.35">
      <c r="A82" s="216" t="s">
        <v>2056</v>
      </c>
      <c r="B82" s="216" t="s">
        <v>158</v>
      </c>
      <c r="C82" s="216" t="s">
        <v>878</v>
      </c>
      <c r="D82" s="216" t="s">
        <v>183</v>
      </c>
      <c r="F82" s="216" t="s">
        <v>184</v>
      </c>
      <c r="G82" s="216" t="s">
        <v>831</v>
      </c>
      <c r="H82" s="216" t="s">
        <v>197</v>
      </c>
      <c r="K82" s="216">
        <v>3600</v>
      </c>
      <c r="M82" s="216" t="s">
        <v>182</v>
      </c>
      <c r="N82" s="263"/>
      <c r="O82" s="263"/>
      <c r="P82" s="263">
        <v>3</v>
      </c>
      <c r="Q82" s="216" t="s">
        <v>1900</v>
      </c>
    </row>
    <row r="83" spans="1:18" ht="23" x14ac:dyDescent="0.35">
      <c r="A83" s="216" t="s">
        <v>2056</v>
      </c>
      <c r="B83" s="216" t="s">
        <v>158</v>
      </c>
      <c r="C83" s="216" t="s">
        <v>836</v>
      </c>
      <c r="D83" s="216" t="s">
        <v>183</v>
      </c>
      <c r="F83" s="216" t="s">
        <v>210</v>
      </c>
      <c r="G83" s="216" t="s">
        <v>834</v>
      </c>
      <c r="H83" s="216" t="s">
        <v>835</v>
      </c>
      <c r="I83" s="216" t="s">
        <v>168</v>
      </c>
      <c r="J83" s="216" t="s">
        <v>840</v>
      </c>
      <c r="K83" s="216">
        <v>2000</v>
      </c>
      <c r="N83" s="263"/>
      <c r="O83" s="263"/>
      <c r="P83" s="263"/>
      <c r="Q83" s="216" t="s">
        <v>835</v>
      </c>
      <c r="R83" s="216" t="s">
        <v>2398</v>
      </c>
    </row>
    <row r="84" spans="1:18" ht="23" x14ac:dyDescent="0.35">
      <c r="A84" s="216" t="s">
        <v>2056</v>
      </c>
      <c r="B84" s="216" t="s">
        <v>158</v>
      </c>
      <c r="C84" s="216" t="s">
        <v>832</v>
      </c>
      <c r="D84" s="216" t="s">
        <v>183</v>
      </c>
      <c r="F84" s="216" t="s">
        <v>184</v>
      </c>
      <c r="G84" s="216" t="s">
        <v>833</v>
      </c>
      <c r="H84" s="216" t="s">
        <v>197</v>
      </c>
      <c r="K84" s="216">
        <v>3600</v>
      </c>
      <c r="N84" s="263"/>
      <c r="O84" s="263">
        <v>3</v>
      </c>
      <c r="P84" s="263"/>
      <c r="Q84" s="216" t="s">
        <v>1902</v>
      </c>
    </row>
    <row r="85" spans="1:18" ht="23" x14ac:dyDescent="0.35">
      <c r="A85" s="216" t="s">
        <v>2056</v>
      </c>
      <c r="B85" s="216" t="s">
        <v>158</v>
      </c>
      <c r="C85" s="216" t="s">
        <v>837</v>
      </c>
      <c r="D85" s="216" t="s">
        <v>183</v>
      </c>
      <c r="F85" s="216" t="s">
        <v>184</v>
      </c>
      <c r="G85" s="216" t="s">
        <v>838</v>
      </c>
      <c r="H85" s="216" t="s">
        <v>197</v>
      </c>
      <c r="K85" s="216">
        <v>3600</v>
      </c>
      <c r="N85" s="263">
        <v>3</v>
      </c>
      <c r="O85" s="263"/>
      <c r="P85" s="263"/>
      <c r="Q85" s="216" t="s">
        <v>1901</v>
      </c>
    </row>
    <row r="86" spans="1:18" ht="23" x14ac:dyDescent="0.35">
      <c r="A86" s="216" t="s">
        <v>2056</v>
      </c>
      <c r="B86" s="216" t="s">
        <v>158</v>
      </c>
      <c r="C86" s="216" t="s">
        <v>839</v>
      </c>
      <c r="D86" s="216" t="s">
        <v>183</v>
      </c>
      <c r="F86" s="216" t="s">
        <v>210</v>
      </c>
      <c r="G86" s="216" t="s">
        <v>263</v>
      </c>
      <c r="H86" s="216" t="s">
        <v>840</v>
      </c>
      <c r="I86" s="216" t="s">
        <v>841</v>
      </c>
      <c r="J86" s="216" t="s">
        <v>842</v>
      </c>
      <c r="K86" s="216">
        <v>3200</v>
      </c>
      <c r="N86" s="263"/>
      <c r="O86" s="263"/>
      <c r="P86" s="263"/>
      <c r="Q86" s="216" t="s">
        <v>843</v>
      </c>
      <c r="R86" s="216" t="s">
        <v>2392</v>
      </c>
    </row>
    <row r="87" spans="1:18" ht="23" x14ac:dyDescent="0.35">
      <c r="A87" s="216" t="s">
        <v>2055</v>
      </c>
      <c r="B87" s="216" t="s">
        <v>158</v>
      </c>
      <c r="C87" s="216" t="s">
        <v>1706</v>
      </c>
      <c r="D87" s="216" t="s">
        <v>183</v>
      </c>
      <c r="F87" s="216" t="s">
        <v>210</v>
      </c>
      <c r="G87" s="216" t="s">
        <v>1656</v>
      </c>
      <c r="H87" s="216" t="s">
        <v>840</v>
      </c>
      <c r="I87" s="216" t="s">
        <v>168</v>
      </c>
      <c r="J87" s="216" t="s">
        <v>842</v>
      </c>
      <c r="K87" s="216">
        <v>2000</v>
      </c>
      <c r="N87" s="263"/>
      <c r="O87" s="263"/>
      <c r="P87" s="263"/>
      <c r="Q87" s="216" t="s">
        <v>895</v>
      </c>
      <c r="R87" s="216" t="s">
        <v>2965</v>
      </c>
    </row>
    <row r="88" spans="1:18" ht="23" x14ac:dyDescent="0.35">
      <c r="A88" s="216" t="s">
        <v>2055</v>
      </c>
      <c r="B88" s="216" t="s">
        <v>158</v>
      </c>
      <c r="C88" s="216" t="s">
        <v>1706</v>
      </c>
      <c r="D88" s="216" t="s">
        <v>183</v>
      </c>
      <c r="F88" s="216" t="s">
        <v>210</v>
      </c>
      <c r="G88" s="216" t="s">
        <v>1682</v>
      </c>
      <c r="H88" s="216" t="s">
        <v>840</v>
      </c>
      <c r="I88" s="216" t="s">
        <v>168</v>
      </c>
      <c r="J88" s="216" t="s">
        <v>842</v>
      </c>
      <c r="K88" s="216">
        <v>2000</v>
      </c>
      <c r="N88" s="263"/>
      <c r="O88" s="263"/>
      <c r="P88" s="263"/>
      <c r="Q88" s="216" t="s">
        <v>895</v>
      </c>
      <c r="R88" s="216" t="s">
        <v>2965</v>
      </c>
    </row>
    <row r="89" spans="1:18" ht="23" x14ac:dyDescent="0.35">
      <c r="A89" s="216" t="s">
        <v>2055</v>
      </c>
      <c r="B89" s="216" t="s">
        <v>158</v>
      </c>
      <c r="C89" s="216" t="s">
        <v>1706</v>
      </c>
      <c r="D89" s="216" t="s">
        <v>183</v>
      </c>
      <c r="F89" s="216" t="s">
        <v>210</v>
      </c>
      <c r="G89" s="216" t="s">
        <v>1642</v>
      </c>
      <c r="H89" s="216" t="s">
        <v>840</v>
      </c>
      <c r="I89" s="216" t="s">
        <v>168</v>
      </c>
      <c r="J89" s="216" t="s">
        <v>842</v>
      </c>
      <c r="K89" s="216">
        <v>2000</v>
      </c>
      <c r="N89" s="263"/>
      <c r="O89" s="263"/>
      <c r="P89" s="263"/>
      <c r="Q89" s="216" t="s">
        <v>895</v>
      </c>
      <c r="R89" s="216" t="s">
        <v>2965</v>
      </c>
    </row>
    <row r="90" spans="1:18" ht="23" x14ac:dyDescent="0.35">
      <c r="A90" s="216" t="s">
        <v>2055</v>
      </c>
      <c r="B90" s="216" t="s">
        <v>158</v>
      </c>
      <c r="C90" s="216" t="s">
        <v>1704</v>
      </c>
      <c r="D90" s="216" t="s">
        <v>183</v>
      </c>
      <c r="F90" s="216" t="s">
        <v>184</v>
      </c>
      <c r="G90" s="216" t="s">
        <v>1644</v>
      </c>
      <c r="H90" s="216" t="s">
        <v>197</v>
      </c>
      <c r="K90" s="216">
        <v>3000</v>
      </c>
      <c r="N90" s="263"/>
      <c r="O90" s="263"/>
      <c r="P90" s="263"/>
      <c r="Q90" s="216" t="s">
        <v>1707</v>
      </c>
      <c r="R90" s="216" t="s">
        <v>2393</v>
      </c>
    </row>
    <row r="91" spans="1:18" ht="23" x14ac:dyDescent="0.35">
      <c r="A91" s="216" t="s">
        <v>2055</v>
      </c>
      <c r="B91" s="216" t="s">
        <v>158</v>
      </c>
      <c r="C91" s="216" t="s">
        <v>1705</v>
      </c>
      <c r="D91" s="216" t="s">
        <v>183</v>
      </c>
      <c r="F91" s="216" t="s">
        <v>184</v>
      </c>
      <c r="G91" s="216" t="s">
        <v>1650</v>
      </c>
      <c r="H91" s="216" t="s">
        <v>197</v>
      </c>
      <c r="K91" s="216">
        <v>3000</v>
      </c>
      <c r="N91" s="263"/>
      <c r="O91" s="263"/>
      <c r="P91" s="263"/>
      <c r="Q91" s="216" t="s">
        <v>1707</v>
      </c>
      <c r="R91" s="216" t="s">
        <v>2393</v>
      </c>
    </row>
    <row r="92" spans="1:18" ht="23" x14ac:dyDescent="0.35">
      <c r="A92" s="216" t="s">
        <v>2058</v>
      </c>
      <c r="B92" s="216" t="s">
        <v>671</v>
      </c>
      <c r="C92" s="216" t="s">
        <v>733</v>
      </c>
      <c r="D92" s="216" t="s">
        <v>159</v>
      </c>
      <c r="F92" s="216" t="s">
        <v>671</v>
      </c>
      <c r="G92" s="216" t="s">
        <v>1726</v>
      </c>
      <c r="H92" s="216" t="s">
        <v>714</v>
      </c>
      <c r="I92" s="216" t="s">
        <v>299</v>
      </c>
      <c r="K92" s="216">
        <v>2000</v>
      </c>
      <c r="N92" s="263"/>
      <c r="O92" s="263"/>
      <c r="P92" s="263"/>
    </row>
    <row r="93" spans="1:18" ht="23" x14ac:dyDescent="0.35">
      <c r="A93" s="216" t="s">
        <v>2058</v>
      </c>
      <c r="B93" s="216" t="s">
        <v>671</v>
      </c>
      <c r="C93" s="216" t="s">
        <v>713</v>
      </c>
      <c r="D93" s="216" t="s">
        <v>159</v>
      </c>
      <c r="F93" s="216" t="s">
        <v>671</v>
      </c>
      <c r="G93" s="216" t="s">
        <v>1726</v>
      </c>
      <c r="H93" s="216" t="s">
        <v>714</v>
      </c>
      <c r="I93" s="216" t="s">
        <v>161</v>
      </c>
      <c r="K93" s="216">
        <v>2000</v>
      </c>
      <c r="N93" s="263"/>
      <c r="O93" s="263"/>
      <c r="P93" s="263"/>
    </row>
    <row r="94" spans="1:18" ht="23" x14ac:dyDescent="0.35">
      <c r="A94" s="216" t="s">
        <v>2058</v>
      </c>
      <c r="B94" s="216" t="s">
        <v>671</v>
      </c>
      <c r="C94" s="216" t="s">
        <v>735</v>
      </c>
      <c r="D94" s="216" t="s">
        <v>159</v>
      </c>
      <c r="F94" s="216" t="s">
        <v>671</v>
      </c>
      <c r="G94" s="216" t="s">
        <v>1726</v>
      </c>
      <c r="H94" s="216" t="s">
        <v>714</v>
      </c>
      <c r="I94" s="216" t="s">
        <v>223</v>
      </c>
      <c r="K94" s="216">
        <v>2000</v>
      </c>
      <c r="N94" s="263"/>
      <c r="O94" s="263"/>
      <c r="P94" s="263"/>
    </row>
    <row r="95" spans="1:18" ht="23" x14ac:dyDescent="0.35">
      <c r="A95" s="216" t="s">
        <v>2058</v>
      </c>
      <c r="B95" s="216" t="s">
        <v>671</v>
      </c>
      <c r="C95" s="216" t="s">
        <v>734</v>
      </c>
      <c r="D95" s="216" t="s">
        <v>159</v>
      </c>
      <c r="F95" s="216" t="s">
        <v>671</v>
      </c>
      <c r="G95" s="216" t="s">
        <v>168</v>
      </c>
      <c r="H95" s="216" t="s">
        <v>714</v>
      </c>
      <c r="I95" s="216" t="s">
        <v>223</v>
      </c>
      <c r="K95" s="216">
        <v>2500</v>
      </c>
      <c r="N95" s="263"/>
      <c r="O95" s="263"/>
      <c r="P95" s="263"/>
    </row>
    <row r="96" spans="1:18" ht="23" x14ac:dyDescent="0.35">
      <c r="A96" s="216" t="s">
        <v>2058</v>
      </c>
      <c r="B96" s="216" t="s">
        <v>671</v>
      </c>
      <c r="C96" s="216" t="s">
        <v>715</v>
      </c>
      <c r="D96" s="216" t="s">
        <v>159</v>
      </c>
      <c r="F96" s="216" t="s">
        <v>671</v>
      </c>
      <c r="G96" s="216" t="s">
        <v>168</v>
      </c>
      <c r="H96" s="216" t="s">
        <v>714</v>
      </c>
      <c r="I96" s="216" t="s">
        <v>161</v>
      </c>
      <c r="K96" s="216">
        <v>2600</v>
      </c>
      <c r="N96" s="263"/>
      <c r="O96" s="263"/>
      <c r="P96" s="263"/>
    </row>
    <row r="97" spans="1:16" ht="23" x14ac:dyDescent="0.35">
      <c r="A97" s="216" t="s">
        <v>2058</v>
      </c>
      <c r="B97" s="216" t="s">
        <v>671</v>
      </c>
      <c r="C97" s="216" t="s">
        <v>716</v>
      </c>
      <c r="D97" s="216" t="s">
        <v>159</v>
      </c>
      <c r="F97" s="216" t="s">
        <v>671</v>
      </c>
      <c r="G97" s="216" t="s">
        <v>220</v>
      </c>
      <c r="H97" s="216" t="s">
        <v>717</v>
      </c>
      <c r="I97" s="216" t="s">
        <v>161</v>
      </c>
      <c r="K97" s="216">
        <v>3500</v>
      </c>
      <c r="N97" s="263"/>
      <c r="O97" s="263"/>
      <c r="P97" s="263"/>
    </row>
    <row r="98" spans="1:16" ht="23" x14ac:dyDescent="0.35">
      <c r="A98" s="216" t="s">
        <v>2058</v>
      </c>
      <c r="B98" s="216" t="s">
        <v>671</v>
      </c>
      <c r="C98" s="216" t="s">
        <v>718</v>
      </c>
      <c r="D98" s="216" t="s">
        <v>159</v>
      </c>
      <c r="F98" s="216" t="s">
        <v>671</v>
      </c>
      <c r="G98" s="216" t="s">
        <v>171</v>
      </c>
      <c r="H98" s="216" t="s">
        <v>714</v>
      </c>
      <c r="I98" s="216" t="s">
        <v>672</v>
      </c>
      <c r="K98" s="216">
        <v>2600</v>
      </c>
      <c r="N98" s="263"/>
      <c r="O98" s="263"/>
      <c r="P98" s="263"/>
    </row>
    <row r="99" spans="1:16" ht="23" x14ac:dyDescent="0.35">
      <c r="A99" s="216" t="s">
        <v>2058</v>
      </c>
      <c r="B99" s="216" t="s">
        <v>671</v>
      </c>
      <c r="C99" s="216" t="s">
        <v>720</v>
      </c>
      <c r="D99" s="216" t="s">
        <v>159</v>
      </c>
      <c r="F99" s="216" t="s">
        <v>671</v>
      </c>
      <c r="G99" s="216" t="s">
        <v>220</v>
      </c>
      <c r="H99" s="216" t="s">
        <v>717</v>
      </c>
      <c r="I99" s="216" t="s">
        <v>170</v>
      </c>
      <c r="K99" s="216">
        <v>3000</v>
      </c>
      <c r="N99" s="263"/>
      <c r="O99" s="263"/>
      <c r="P99" s="263"/>
    </row>
    <row r="100" spans="1:16" ht="23" x14ac:dyDescent="0.35">
      <c r="A100" s="216" t="s">
        <v>2058</v>
      </c>
      <c r="B100" s="216" t="s">
        <v>671</v>
      </c>
      <c r="C100" s="216" t="s">
        <v>721</v>
      </c>
      <c r="D100" s="216" t="s">
        <v>159</v>
      </c>
      <c r="E100" s="216" t="s">
        <v>159</v>
      </c>
      <c r="F100" s="216" t="s">
        <v>671</v>
      </c>
      <c r="G100" s="216" t="s">
        <v>171</v>
      </c>
      <c r="H100" s="216" t="s">
        <v>714</v>
      </c>
      <c r="I100" s="216" t="s">
        <v>244</v>
      </c>
      <c r="K100" s="216">
        <v>2600</v>
      </c>
      <c r="N100" s="263"/>
      <c r="O100" s="263"/>
      <c r="P100" s="263"/>
    </row>
    <row r="101" spans="1:16" ht="23" x14ac:dyDescent="0.35">
      <c r="A101" s="216" t="s">
        <v>2058</v>
      </c>
      <c r="B101" s="216" t="s">
        <v>671</v>
      </c>
      <c r="C101" s="216" t="s">
        <v>722</v>
      </c>
      <c r="D101" s="216" t="s">
        <v>159</v>
      </c>
      <c r="F101" s="216" t="s">
        <v>671</v>
      </c>
      <c r="G101" s="216" t="s">
        <v>223</v>
      </c>
      <c r="H101" s="216" t="s">
        <v>714</v>
      </c>
      <c r="I101" s="216" t="s">
        <v>161</v>
      </c>
      <c r="K101" s="216">
        <v>2600</v>
      </c>
      <c r="N101" s="263"/>
      <c r="O101" s="263"/>
      <c r="P101" s="263"/>
    </row>
    <row r="102" spans="1:16" ht="23" x14ac:dyDescent="0.35">
      <c r="A102" s="216" t="s">
        <v>2058</v>
      </c>
      <c r="B102" s="216" t="s">
        <v>671</v>
      </c>
      <c r="C102" s="216" t="s">
        <v>723</v>
      </c>
      <c r="D102" s="216" t="s">
        <v>159</v>
      </c>
      <c r="F102" s="216" t="s">
        <v>671</v>
      </c>
      <c r="G102" s="216" t="s">
        <v>189</v>
      </c>
      <c r="H102" s="216" t="s">
        <v>717</v>
      </c>
      <c r="I102" s="216" t="s">
        <v>167</v>
      </c>
      <c r="K102" s="216">
        <v>3600</v>
      </c>
      <c r="N102" s="263"/>
      <c r="O102" s="263"/>
      <c r="P102" s="263"/>
    </row>
    <row r="103" spans="1:16" ht="23" x14ac:dyDescent="0.35">
      <c r="A103" s="216" t="s">
        <v>2058</v>
      </c>
      <c r="B103" s="216" t="s">
        <v>671</v>
      </c>
      <c r="C103" s="216" t="s">
        <v>724</v>
      </c>
      <c r="D103" s="216" t="s">
        <v>159</v>
      </c>
      <c r="F103" s="216" t="s">
        <v>671</v>
      </c>
      <c r="G103" s="216" t="s">
        <v>171</v>
      </c>
      <c r="H103" s="216" t="s">
        <v>714</v>
      </c>
      <c r="I103" s="216" t="s">
        <v>161</v>
      </c>
      <c r="K103" s="216">
        <v>2600</v>
      </c>
      <c r="N103" s="263"/>
      <c r="O103" s="263"/>
      <c r="P103" s="263"/>
    </row>
    <row r="104" spans="1:16" ht="23" x14ac:dyDescent="0.35">
      <c r="A104" s="216" t="s">
        <v>2058</v>
      </c>
      <c r="B104" s="216" t="s">
        <v>671</v>
      </c>
      <c r="C104" s="216" t="s">
        <v>725</v>
      </c>
      <c r="D104" s="216" t="s">
        <v>159</v>
      </c>
      <c r="E104" s="216" t="s">
        <v>159</v>
      </c>
      <c r="F104" s="216" t="s">
        <v>671</v>
      </c>
      <c r="G104" s="216" t="s">
        <v>168</v>
      </c>
      <c r="H104" s="216" t="s">
        <v>717</v>
      </c>
      <c r="I104" s="216" t="s">
        <v>672</v>
      </c>
      <c r="K104" s="216">
        <v>4000</v>
      </c>
      <c r="N104" s="263"/>
      <c r="O104" s="263"/>
      <c r="P104" s="263"/>
    </row>
    <row r="105" spans="1:16" ht="23" x14ac:dyDescent="0.35">
      <c r="A105" s="216" t="s">
        <v>2058</v>
      </c>
      <c r="B105" s="216" t="s">
        <v>671</v>
      </c>
      <c r="C105" s="216" t="s">
        <v>726</v>
      </c>
      <c r="D105" s="216" t="s">
        <v>159</v>
      </c>
      <c r="E105" s="216" t="s">
        <v>159</v>
      </c>
      <c r="F105" s="216" t="s">
        <v>671</v>
      </c>
      <c r="G105" s="216" t="s">
        <v>168</v>
      </c>
      <c r="H105" s="216" t="s">
        <v>727</v>
      </c>
      <c r="I105" s="216" t="s">
        <v>672</v>
      </c>
      <c r="K105" s="216">
        <v>2600</v>
      </c>
      <c r="N105" s="263"/>
      <c r="O105" s="263"/>
      <c r="P105" s="263"/>
    </row>
    <row r="106" spans="1:16" ht="23" x14ac:dyDescent="0.35">
      <c r="A106" s="216" t="s">
        <v>2058</v>
      </c>
      <c r="B106" s="216" t="s">
        <v>671</v>
      </c>
      <c r="C106" s="216" t="s">
        <v>729</v>
      </c>
      <c r="D106" s="216" t="s">
        <v>159</v>
      </c>
      <c r="F106" s="216" t="s">
        <v>671</v>
      </c>
      <c r="G106" s="216" t="s">
        <v>189</v>
      </c>
      <c r="H106" s="216" t="s">
        <v>717</v>
      </c>
      <c r="I106" s="216" t="s">
        <v>167</v>
      </c>
      <c r="K106" s="216">
        <v>3200</v>
      </c>
      <c r="N106" s="263"/>
      <c r="O106" s="263"/>
      <c r="P106" s="263"/>
    </row>
    <row r="107" spans="1:16" ht="23" x14ac:dyDescent="0.35">
      <c r="A107" s="216" t="s">
        <v>2058</v>
      </c>
      <c r="B107" s="216" t="s">
        <v>671</v>
      </c>
      <c r="C107" s="216" t="s">
        <v>719</v>
      </c>
      <c r="D107" s="216" t="s">
        <v>159</v>
      </c>
      <c r="F107" s="216" t="s">
        <v>671</v>
      </c>
      <c r="G107" s="216" t="s">
        <v>168</v>
      </c>
      <c r="H107" s="216" t="s">
        <v>714</v>
      </c>
      <c r="I107" s="216" t="s">
        <v>166</v>
      </c>
      <c r="K107" s="216">
        <v>3000</v>
      </c>
      <c r="N107" s="263"/>
      <c r="O107" s="263"/>
      <c r="P107" s="263"/>
    </row>
    <row r="108" spans="1:16" ht="23" x14ac:dyDescent="0.35">
      <c r="A108" s="216" t="s">
        <v>2058</v>
      </c>
      <c r="B108" s="216" t="s">
        <v>671</v>
      </c>
      <c r="C108" s="216" t="s">
        <v>728</v>
      </c>
      <c r="D108" s="216" t="s">
        <v>159</v>
      </c>
      <c r="F108" s="216" t="s">
        <v>671</v>
      </c>
      <c r="G108" s="216" t="s">
        <v>220</v>
      </c>
      <c r="H108" s="216" t="s">
        <v>717</v>
      </c>
      <c r="I108" s="216" t="s">
        <v>672</v>
      </c>
      <c r="K108" s="216">
        <v>3200</v>
      </c>
      <c r="N108" s="263"/>
      <c r="O108" s="263"/>
      <c r="P108" s="263"/>
    </row>
    <row r="109" spans="1:16" ht="23" x14ac:dyDescent="0.35">
      <c r="A109" s="216" t="s">
        <v>2058</v>
      </c>
      <c r="B109" s="216" t="s">
        <v>671</v>
      </c>
      <c r="C109" s="216" t="s">
        <v>730</v>
      </c>
      <c r="D109" s="216" t="s">
        <v>159</v>
      </c>
      <c r="E109" s="216" t="s">
        <v>159</v>
      </c>
      <c r="F109" s="216" t="s">
        <v>671</v>
      </c>
      <c r="G109" s="216" t="s">
        <v>171</v>
      </c>
      <c r="H109" s="216" t="s">
        <v>714</v>
      </c>
      <c r="I109" s="216" t="s">
        <v>180</v>
      </c>
      <c r="K109" s="216">
        <v>2600</v>
      </c>
      <c r="N109" s="263"/>
      <c r="O109" s="263"/>
      <c r="P109" s="263"/>
    </row>
    <row r="110" spans="1:16" ht="23" x14ac:dyDescent="0.35">
      <c r="A110" s="216" t="s">
        <v>2058</v>
      </c>
      <c r="B110" s="216" t="s">
        <v>671</v>
      </c>
      <c r="C110" s="216" t="s">
        <v>731</v>
      </c>
      <c r="D110" s="216" t="s">
        <v>159</v>
      </c>
      <c r="F110" s="216" t="s">
        <v>671</v>
      </c>
      <c r="G110" s="216" t="s">
        <v>220</v>
      </c>
      <c r="H110" s="216" t="s">
        <v>714</v>
      </c>
      <c r="I110" s="216" t="s">
        <v>168</v>
      </c>
      <c r="K110" s="216">
        <v>2600</v>
      </c>
      <c r="N110" s="263"/>
      <c r="O110" s="263"/>
      <c r="P110" s="263"/>
    </row>
    <row r="111" spans="1:16" ht="23" x14ac:dyDescent="0.35">
      <c r="A111" s="216" t="s">
        <v>2058</v>
      </c>
      <c r="B111" s="216" t="s">
        <v>671</v>
      </c>
      <c r="C111" s="216" t="s">
        <v>732</v>
      </c>
      <c r="D111" s="216" t="s">
        <v>159</v>
      </c>
      <c r="E111" s="216" t="s">
        <v>159</v>
      </c>
      <c r="F111" s="216" t="s">
        <v>671</v>
      </c>
      <c r="G111" s="216" t="s">
        <v>189</v>
      </c>
      <c r="H111" s="216" t="s">
        <v>717</v>
      </c>
      <c r="I111" s="216" t="s">
        <v>161</v>
      </c>
      <c r="K111" s="216">
        <v>3600</v>
      </c>
      <c r="N111" s="263"/>
      <c r="O111" s="263"/>
      <c r="P111" s="263"/>
    </row>
    <row r="112" spans="1:16" ht="23" x14ac:dyDescent="0.35">
      <c r="A112" s="216" t="s">
        <v>2822</v>
      </c>
      <c r="B112" s="216" t="s">
        <v>671</v>
      </c>
      <c r="C112" s="216" t="s">
        <v>2761</v>
      </c>
      <c r="D112" s="216" t="s">
        <v>159</v>
      </c>
      <c r="F112" s="216" t="s">
        <v>671</v>
      </c>
      <c r="G112" s="216" t="s">
        <v>1726</v>
      </c>
      <c r="H112" s="216" t="s">
        <v>714</v>
      </c>
      <c r="I112" s="216" t="s">
        <v>1698</v>
      </c>
      <c r="K112" s="216">
        <v>2500</v>
      </c>
      <c r="N112" s="263"/>
      <c r="O112" s="263"/>
      <c r="P112" s="263"/>
    </row>
    <row r="113" spans="1:18" ht="23" x14ac:dyDescent="0.35">
      <c r="A113" s="216" t="s">
        <v>2822</v>
      </c>
      <c r="B113" s="216" t="s">
        <v>671</v>
      </c>
      <c r="C113" s="216" t="s">
        <v>2762</v>
      </c>
      <c r="D113" s="216" t="s">
        <v>159</v>
      </c>
      <c r="E113" s="216" t="s">
        <v>159</v>
      </c>
      <c r="F113" s="216" t="s">
        <v>671</v>
      </c>
      <c r="G113" s="216" t="s">
        <v>1726</v>
      </c>
      <c r="H113" s="216" t="s">
        <v>714</v>
      </c>
      <c r="I113" s="216" t="s">
        <v>162</v>
      </c>
      <c r="K113" s="216">
        <v>3000</v>
      </c>
      <c r="N113" s="263"/>
      <c r="O113" s="263"/>
      <c r="P113" s="263"/>
    </row>
    <row r="114" spans="1:18" ht="23" x14ac:dyDescent="0.35">
      <c r="A114" s="216" t="s">
        <v>2822</v>
      </c>
      <c r="B114" s="216" t="s">
        <v>671</v>
      </c>
      <c r="C114" s="216" t="s">
        <v>2763</v>
      </c>
      <c r="D114" s="216" t="s">
        <v>159</v>
      </c>
      <c r="F114" s="216" t="s">
        <v>671</v>
      </c>
      <c r="G114" s="216" t="s">
        <v>1726</v>
      </c>
      <c r="H114" s="216" t="s">
        <v>2764</v>
      </c>
      <c r="I114" s="216" t="s">
        <v>233</v>
      </c>
      <c r="K114" s="216">
        <v>4000</v>
      </c>
      <c r="N114" s="263"/>
      <c r="O114" s="263"/>
      <c r="P114" s="263"/>
    </row>
    <row r="115" spans="1:18" ht="23" x14ac:dyDescent="0.35">
      <c r="A115" s="216" t="s">
        <v>2822</v>
      </c>
      <c r="B115" s="216" t="s">
        <v>671</v>
      </c>
      <c r="C115" s="216" t="s">
        <v>1467</v>
      </c>
      <c r="D115" s="216" t="s">
        <v>159</v>
      </c>
      <c r="F115" s="216" t="s">
        <v>671</v>
      </c>
      <c r="G115" s="216" t="s">
        <v>1590</v>
      </c>
      <c r="H115" s="216" t="s">
        <v>714</v>
      </c>
      <c r="I115" s="216" t="s">
        <v>203</v>
      </c>
      <c r="K115" s="216">
        <v>2600</v>
      </c>
      <c r="N115" s="263"/>
      <c r="O115" s="263"/>
      <c r="P115" s="263"/>
    </row>
    <row r="116" spans="1:18" ht="23" x14ac:dyDescent="0.35">
      <c r="A116" s="216" t="s">
        <v>2822</v>
      </c>
      <c r="B116" s="216" t="s">
        <v>671</v>
      </c>
      <c r="C116" s="216" t="s">
        <v>805</v>
      </c>
      <c r="D116" s="216" t="s">
        <v>159</v>
      </c>
      <c r="F116" s="216" t="s">
        <v>671</v>
      </c>
      <c r="G116" s="216" t="s">
        <v>831</v>
      </c>
      <c r="H116" s="216" t="s">
        <v>714</v>
      </c>
      <c r="I116" s="216" t="s">
        <v>167</v>
      </c>
      <c r="K116" s="216">
        <v>2600</v>
      </c>
      <c r="N116" s="263"/>
      <c r="O116" s="263"/>
      <c r="P116" s="263"/>
    </row>
    <row r="117" spans="1:18" ht="34.5" x14ac:dyDescent="0.35">
      <c r="A117" s="266" t="s">
        <v>2652</v>
      </c>
      <c r="B117" s="266" t="s">
        <v>2914</v>
      </c>
      <c r="C117" s="270" t="s">
        <v>2915</v>
      </c>
      <c r="D117" s="266" t="s">
        <v>183</v>
      </c>
      <c r="E117" s="270"/>
      <c r="F117" s="266" t="s">
        <v>2940</v>
      </c>
      <c r="G117" s="270" t="s">
        <v>203</v>
      </c>
      <c r="H117" s="266" t="s">
        <v>324</v>
      </c>
      <c r="I117" s="266"/>
      <c r="J117" s="266"/>
      <c r="K117" s="266">
        <v>2000</v>
      </c>
      <c r="L117" s="271" t="s">
        <v>2966</v>
      </c>
      <c r="M117" s="266" t="s">
        <v>2952</v>
      </c>
      <c r="N117" s="267"/>
      <c r="O117" s="268"/>
      <c r="P117" s="269"/>
      <c r="Q117" s="266" t="s">
        <v>2941</v>
      </c>
      <c r="R117" s="266" t="s">
        <v>2986</v>
      </c>
    </row>
    <row r="118" spans="1:18" ht="34.5" x14ac:dyDescent="0.35">
      <c r="A118" s="266" t="s">
        <v>2652</v>
      </c>
      <c r="B118" s="266" t="s">
        <v>2914</v>
      </c>
      <c r="C118" s="270" t="s">
        <v>2916</v>
      </c>
      <c r="D118" s="266" t="s">
        <v>183</v>
      </c>
      <c r="E118" s="270"/>
      <c r="F118" s="266" t="s">
        <v>2940</v>
      </c>
      <c r="G118" s="270" t="s">
        <v>250</v>
      </c>
      <c r="H118" s="266" t="s">
        <v>324</v>
      </c>
      <c r="I118" s="266"/>
      <c r="J118" s="266"/>
      <c r="K118" s="266">
        <v>3500</v>
      </c>
      <c r="L118" s="271" t="s">
        <v>2953</v>
      </c>
      <c r="M118" s="266" t="s">
        <v>2954</v>
      </c>
      <c r="N118" s="267"/>
      <c r="O118" s="268"/>
      <c r="P118" s="269"/>
      <c r="Q118" s="266" t="s">
        <v>2942</v>
      </c>
      <c r="R118" s="266" t="s">
        <v>2987</v>
      </c>
    </row>
    <row r="119" spans="1:18" ht="46" x14ac:dyDescent="0.35">
      <c r="A119" s="266" t="s">
        <v>2652</v>
      </c>
      <c r="B119" s="266" t="s">
        <v>2914</v>
      </c>
      <c r="C119" s="270" t="s">
        <v>2917</v>
      </c>
      <c r="D119" s="266" t="s">
        <v>183</v>
      </c>
      <c r="E119" s="270"/>
      <c r="F119" s="266" t="s">
        <v>2940</v>
      </c>
      <c r="G119" s="270" t="s">
        <v>246</v>
      </c>
      <c r="H119" s="266" t="s">
        <v>324</v>
      </c>
      <c r="I119" s="266"/>
      <c r="J119" s="266"/>
      <c r="K119" s="266">
        <v>2500</v>
      </c>
      <c r="L119" s="271" t="s">
        <v>2955</v>
      </c>
      <c r="M119" s="266" t="s">
        <v>2956</v>
      </c>
      <c r="N119" s="267"/>
      <c r="O119" s="268"/>
      <c r="P119" s="269"/>
      <c r="Q119" s="266" t="s">
        <v>2943</v>
      </c>
      <c r="R119" s="266" t="s">
        <v>2976</v>
      </c>
    </row>
    <row r="120" spans="1:18" ht="57.5" x14ac:dyDescent="0.35">
      <c r="A120" s="266" t="s">
        <v>2652</v>
      </c>
      <c r="B120" s="266" t="s">
        <v>2914</v>
      </c>
      <c r="C120" s="270" t="s">
        <v>2918</v>
      </c>
      <c r="D120" s="266" t="s">
        <v>183</v>
      </c>
      <c r="E120" s="270"/>
      <c r="F120" s="266" t="s">
        <v>2940</v>
      </c>
      <c r="G120" s="270" t="s">
        <v>831</v>
      </c>
      <c r="H120" s="266" t="s">
        <v>324</v>
      </c>
      <c r="I120" s="266"/>
      <c r="J120" s="266"/>
      <c r="K120" s="266">
        <v>2000</v>
      </c>
      <c r="L120" s="271" t="s">
        <v>2957</v>
      </c>
      <c r="M120" s="266" t="s">
        <v>2952</v>
      </c>
      <c r="N120" s="267"/>
      <c r="O120" s="268"/>
      <c r="P120" s="269"/>
      <c r="Q120" s="266" t="s">
        <v>2946</v>
      </c>
      <c r="R120" s="270" t="s">
        <v>2983</v>
      </c>
    </row>
    <row r="121" spans="1:18" ht="46" x14ac:dyDescent="0.35">
      <c r="A121" s="266" t="s">
        <v>2652</v>
      </c>
      <c r="B121" s="266" t="s">
        <v>2914</v>
      </c>
      <c r="C121" s="270" t="s">
        <v>2919</v>
      </c>
      <c r="D121" s="266" t="s">
        <v>183</v>
      </c>
      <c r="E121" s="270" t="s">
        <v>159</v>
      </c>
      <c r="F121" s="266" t="s">
        <v>2940</v>
      </c>
      <c r="G121" s="270" t="s">
        <v>841</v>
      </c>
      <c r="H121" s="266" t="s">
        <v>324</v>
      </c>
      <c r="I121" s="266"/>
      <c r="J121" s="266"/>
      <c r="K121" s="266">
        <v>1000</v>
      </c>
      <c r="L121" s="271" t="s">
        <v>2958</v>
      </c>
      <c r="M121" s="266" t="s">
        <v>2956</v>
      </c>
      <c r="N121" s="267"/>
      <c r="O121" s="268"/>
      <c r="P121" s="269"/>
      <c r="Q121" s="266" t="s">
        <v>2944</v>
      </c>
      <c r="R121" s="270" t="s">
        <v>2977</v>
      </c>
    </row>
    <row r="122" spans="1:18" ht="57.5" x14ac:dyDescent="0.35">
      <c r="A122" s="266" t="s">
        <v>2652</v>
      </c>
      <c r="B122" s="266" t="s">
        <v>2914</v>
      </c>
      <c r="C122" s="270" t="s">
        <v>2920</v>
      </c>
      <c r="D122" s="266" t="s">
        <v>183</v>
      </c>
      <c r="E122" s="270" t="s">
        <v>159</v>
      </c>
      <c r="F122" s="266" t="s">
        <v>2940</v>
      </c>
      <c r="G122" s="270" t="s">
        <v>161</v>
      </c>
      <c r="H122" s="266" t="s">
        <v>324</v>
      </c>
      <c r="I122" s="266"/>
      <c r="J122" s="266"/>
      <c r="K122" s="266">
        <v>5500</v>
      </c>
      <c r="L122" s="271" t="s">
        <v>2966</v>
      </c>
      <c r="M122" s="266" t="s">
        <v>2959</v>
      </c>
      <c r="N122" s="267"/>
      <c r="O122" s="268"/>
      <c r="P122" s="269"/>
      <c r="Q122" s="266" t="s">
        <v>2946</v>
      </c>
      <c r="R122" s="270" t="s">
        <v>2983</v>
      </c>
    </row>
    <row r="123" spans="1:18" ht="23" x14ac:dyDescent="0.35">
      <c r="A123" s="266" t="s">
        <v>2652</v>
      </c>
      <c r="B123" s="266" t="s">
        <v>2914</v>
      </c>
      <c r="C123" s="270" t="s">
        <v>2921</v>
      </c>
      <c r="D123" s="266" t="s">
        <v>183</v>
      </c>
      <c r="E123" s="270"/>
      <c r="F123" s="266" t="s">
        <v>2940</v>
      </c>
      <c r="G123" s="270" t="s">
        <v>169</v>
      </c>
      <c r="H123" s="266" t="s">
        <v>324</v>
      </c>
      <c r="I123" s="266"/>
      <c r="J123" s="266"/>
      <c r="K123" s="266">
        <v>5000</v>
      </c>
      <c r="L123" s="271" t="s">
        <v>2967</v>
      </c>
      <c r="M123" s="266" t="s">
        <v>2954</v>
      </c>
      <c r="N123" s="267">
        <v>2</v>
      </c>
      <c r="O123" s="268"/>
      <c r="P123" s="269"/>
      <c r="Q123" s="266" t="s">
        <v>1905</v>
      </c>
      <c r="R123" s="266"/>
    </row>
    <row r="124" spans="1:18" ht="46" x14ac:dyDescent="0.35">
      <c r="A124" s="266" t="s">
        <v>2652</v>
      </c>
      <c r="B124" s="266" t="s">
        <v>2914</v>
      </c>
      <c r="C124" s="270" t="s">
        <v>2922</v>
      </c>
      <c r="D124" s="266" t="s">
        <v>183</v>
      </c>
      <c r="E124" s="270"/>
      <c r="F124" s="266" t="s">
        <v>2940</v>
      </c>
      <c r="G124" s="270" t="s">
        <v>283</v>
      </c>
      <c r="H124" s="266" t="s">
        <v>324</v>
      </c>
      <c r="I124" s="266"/>
      <c r="J124" s="266"/>
      <c r="K124" s="266">
        <v>3000</v>
      </c>
      <c r="L124" s="271" t="s">
        <v>2923</v>
      </c>
      <c r="M124" s="266" t="s">
        <v>2960</v>
      </c>
      <c r="N124" s="267"/>
      <c r="O124" s="268"/>
      <c r="P124" s="269"/>
      <c r="Q124" s="266" t="s">
        <v>2942</v>
      </c>
      <c r="R124" s="266" t="s">
        <v>2984</v>
      </c>
    </row>
    <row r="125" spans="1:18" ht="23" x14ac:dyDescent="0.35">
      <c r="A125" s="266" t="s">
        <v>2652</v>
      </c>
      <c r="B125" s="266" t="s">
        <v>2914</v>
      </c>
      <c r="C125" s="270" t="s">
        <v>2924</v>
      </c>
      <c r="D125" s="266" t="s">
        <v>183</v>
      </c>
      <c r="E125" s="270"/>
      <c r="F125" s="266" t="s">
        <v>2940</v>
      </c>
      <c r="G125" s="270" t="s">
        <v>299</v>
      </c>
      <c r="H125" s="266" t="s">
        <v>324</v>
      </c>
      <c r="I125" s="266"/>
      <c r="J125" s="266"/>
      <c r="K125" s="266">
        <v>3500</v>
      </c>
      <c r="L125" s="271" t="s">
        <v>2925</v>
      </c>
      <c r="M125" s="266" t="s">
        <v>2959</v>
      </c>
      <c r="N125" s="267"/>
      <c r="O125" s="268"/>
      <c r="P125" s="269"/>
      <c r="Q125" s="266" t="s">
        <v>2948</v>
      </c>
      <c r="R125" s="266" t="s">
        <v>2985</v>
      </c>
    </row>
    <row r="126" spans="1:18" ht="57.5" x14ac:dyDescent="0.35">
      <c r="A126" s="266" t="s">
        <v>2652</v>
      </c>
      <c r="B126" s="266" t="s">
        <v>2914</v>
      </c>
      <c r="C126" s="270" t="s">
        <v>2926</v>
      </c>
      <c r="D126" s="266" t="s">
        <v>183</v>
      </c>
      <c r="E126" s="270"/>
      <c r="F126" s="266" t="s">
        <v>2940</v>
      </c>
      <c r="G126" s="270" t="s">
        <v>833</v>
      </c>
      <c r="H126" s="266" t="s">
        <v>324</v>
      </c>
      <c r="I126" s="266"/>
      <c r="J126" s="266"/>
      <c r="K126" s="266">
        <v>6000</v>
      </c>
      <c r="L126" s="271" t="s">
        <v>2968</v>
      </c>
      <c r="M126" s="266" t="s">
        <v>2952</v>
      </c>
      <c r="N126" s="267"/>
      <c r="O126" s="268"/>
      <c r="P126" s="269"/>
      <c r="Q126" s="266" t="s">
        <v>2946</v>
      </c>
      <c r="R126" s="270" t="s">
        <v>2983</v>
      </c>
    </row>
    <row r="127" spans="1:18" ht="23" x14ac:dyDescent="0.35">
      <c r="A127" s="266" t="s">
        <v>2652</v>
      </c>
      <c r="B127" s="266" t="s">
        <v>2914</v>
      </c>
      <c r="C127" s="270" t="s">
        <v>2927</v>
      </c>
      <c r="D127" s="266" t="s">
        <v>183</v>
      </c>
      <c r="E127" s="270"/>
      <c r="F127" s="266" t="s">
        <v>2940</v>
      </c>
      <c r="G127" s="270" t="s">
        <v>1683</v>
      </c>
      <c r="H127" s="266" t="s">
        <v>324</v>
      </c>
      <c r="I127" s="266"/>
      <c r="J127" s="266"/>
      <c r="K127" s="266">
        <v>5000</v>
      </c>
      <c r="L127" s="271" t="s">
        <v>2969</v>
      </c>
      <c r="M127" s="266" t="s">
        <v>2961</v>
      </c>
      <c r="N127" s="267"/>
      <c r="O127" s="268"/>
      <c r="P127" s="269"/>
      <c r="Q127" s="266" t="s">
        <v>2950</v>
      </c>
      <c r="R127" s="266"/>
    </row>
    <row r="128" spans="1:18" ht="57.5" x14ac:dyDescent="0.35">
      <c r="A128" s="266" t="s">
        <v>2652</v>
      </c>
      <c r="B128" s="266" t="s">
        <v>2914</v>
      </c>
      <c r="C128" s="270" t="s">
        <v>2981</v>
      </c>
      <c r="D128" s="266" t="s">
        <v>183</v>
      </c>
      <c r="E128" s="270" t="s">
        <v>159</v>
      </c>
      <c r="F128" s="266" t="s">
        <v>2940</v>
      </c>
      <c r="G128" s="270" t="s">
        <v>168</v>
      </c>
      <c r="H128" s="266" t="s">
        <v>324</v>
      </c>
      <c r="I128" s="266"/>
      <c r="J128" s="266"/>
      <c r="K128" s="266">
        <v>5500</v>
      </c>
      <c r="L128" s="271" t="s">
        <v>2968</v>
      </c>
      <c r="M128" s="266" t="s">
        <v>2961</v>
      </c>
      <c r="N128" s="267"/>
      <c r="O128" s="268"/>
      <c r="P128" s="269"/>
      <c r="Q128" s="266" t="s">
        <v>2946</v>
      </c>
      <c r="R128" s="270" t="s">
        <v>2979</v>
      </c>
    </row>
    <row r="129" spans="1:18" ht="46" x14ac:dyDescent="0.35">
      <c r="A129" s="266" t="s">
        <v>2652</v>
      </c>
      <c r="B129" s="266" t="s">
        <v>2914</v>
      </c>
      <c r="C129" s="270" t="s">
        <v>2928</v>
      </c>
      <c r="D129" s="266" t="s">
        <v>183</v>
      </c>
      <c r="E129" s="270"/>
      <c r="F129" s="266" t="s">
        <v>2940</v>
      </c>
      <c r="G129" s="270" t="s">
        <v>251</v>
      </c>
      <c r="H129" s="266" t="s">
        <v>324</v>
      </c>
      <c r="I129" s="266"/>
      <c r="J129" s="266"/>
      <c r="K129" s="266">
        <v>1500</v>
      </c>
      <c r="L129" s="271" t="s">
        <v>2962</v>
      </c>
      <c r="M129" s="266" t="s">
        <v>2956</v>
      </c>
      <c r="N129" s="267"/>
      <c r="O129" s="268"/>
      <c r="P129" s="269"/>
      <c r="Q129" s="266" t="s">
        <v>2944</v>
      </c>
      <c r="R129" s="266" t="s">
        <v>2977</v>
      </c>
    </row>
    <row r="130" spans="1:18" ht="46" x14ac:dyDescent="0.35">
      <c r="A130" s="266" t="s">
        <v>2652</v>
      </c>
      <c r="B130" s="266" t="s">
        <v>2914</v>
      </c>
      <c r="C130" s="270" t="s">
        <v>2929</v>
      </c>
      <c r="D130" s="266" t="s">
        <v>183</v>
      </c>
      <c r="E130" s="270"/>
      <c r="F130" s="266" t="s">
        <v>2940</v>
      </c>
      <c r="G130" s="270" t="s">
        <v>838</v>
      </c>
      <c r="H130" s="266" t="s">
        <v>324</v>
      </c>
      <c r="I130" s="266"/>
      <c r="J130" s="266"/>
      <c r="K130" s="266">
        <v>4000</v>
      </c>
      <c r="L130" s="271" t="s">
        <v>2963</v>
      </c>
      <c r="M130" s="266" t="s">
        <v>2952</v>
      </c>
      <c r="N130" s="267"/>
      <c r="O130" s="268"/>
      <c r="P130" s="269"/>
      <c r="Q130" s="266" t="s">
        <v>2945</v>
      </c>
      <c r="R130" s="270" t="s">
        <v>2982</v>
      </c>
    </row>
    <row r="131" spans="1:18" ht="46" x14ac:dyDescent="0.35">
      <c r="A131" s="266" t="s">
        <v>2652</v>
      </c>
      <c r="B131" s="266" t="s">
        <v>2914</v>
      </c>
      <c r="C131" s="270" t="s">
        <v>2930</v>
      </c>
      <c r="D131" s="266" t="s">
        <v>183</v>
      </c>
      <c r="E131" s="270" t="s">
        <v>159</v>
      </c>
      <c r="F131" s="266" t="s">
        <v>2940</v>
      </c>
      <c r="G131" s="270" t="s">
        <v>180</v>
      </c>
      <c r="H131" s="266" t="s">
        <v>324</v>
      </c>
      <c r="I131" s="266"/>
      <c r="J131" s="266"/>
      <c r="K131" s="266">
        <v>2000</v>
      </c>
      <c r="L131" s="271" t="s">
        <v>2957</v>
      </c>
      <c r="M131" s="266" t="s">
        <v>2956</v>
      </c>
      <c r="N131" s="267"/>
      <c r="O131" s="268"/>
      <c r="P131" s="269"/>
      <c r="Q131" s="266" t="s">
        <v>2945</v>
      </c>
      <c r="R131" s="270" t="s">
        <v>2988</v>
      </c>
    </row>
    <row r="132" spans="1:18" ht="46" x14ac:dyDescent="0.35">
      <c r="A132" s="266" t="s">
        <v>2652</v>
      </c>
      <c r="B132" s="266" t="s">
        <v>2914</v>
      </c>
      <c r="C132" s="270" t="s">
        <v>2931</v>
      </c>
      <c r="D132" s="266" t="s">
        <v>183</v>
      </c>
      <c r="E132" s="270"/>
      <c r="F132" s="266" t="s">
        <v>2940</v>
      </c>
      <c r="G132" s="270" t="s">
        <v>1656</v>
      </c>
      <c r="H132" s="266" t="s">
        <v>324</v>
      </c>
      <c r="I132" s="266"/>
      <c r="J132" s="266"/>
      <c r="K132" s="266">
        <v>4000</v>
      </c>
      <c r="L132" s="271" t="s">
        <v>2955</v>
      </c>
      <c r="M132" s="266" t="s">
        <v>2960</v>
      </c>
      <c r="N132" s="267"/>
      <c r="O132" s="268"/>
      <c r="P132" s="269"/>
      <c r="Q132" s="266" t="s">
        <v>2945</v>
      </c>
      <c r="R132" s="266" t="s">
        <v>2988</v>
      </c>
    </row>
    <row r="133" spans="1:18" ht="46" x14ac:dyDescent="0.35">
      <c r="A133" s="266" t="s">
        <v>2652</v>
      </c>
      <c r="B133" s="266" t="s">
        <v>2914</v>
      </c>
      <c r="C133" s="270" t="s">
        <v>2932</v>
      </c>
      <c r="D133" s="266" t="s">
        <v>183</v>
      </c>
      <c r="E133" s="270"/>
      <c r="F133" s="266" t="s">
        <v>2940</v>
      </c>
      <c r="G133" s="270" t="s">
        <v>1642</v>
      </c>
      <c r="H133" s="266" t="s">
        <v>324</v>
      </c>
      <c r="I133" s="266"/>
      <c r="J133" s="266"/>
      <c r="K133" s="266">
        <v>1000</v>
      </c>
      <c r="L133" s="271" t="s">
        <v>2957</v>
      </c>
      <c r="M133" s="266" t="s">
        <v>2960</v>
      </c>
      <c r="N133" s="267"/>
      <c r="O133" s="268"/>
      <c r="P133" s="269"/>
      <c r="Q133" s="266" t="s">
        <v>2947</v>
      </c>
      <c r="R133" s="266" t="s">
        <v>2978</v>
      </c>
    </row>
    <row r="134" spans="1:18" ht="57.5" x14ac:dyDescent="0.35">
      <c r="A134" s="266" t="s">
        <v>2652</v>
      </c>
      <c r="B134" s="266" t="s">
        <v>2914</v>
      </c>
      <c r="C134" s="270" t="s">
        <v>2933</v>
      </c>
      <c r="D134" s="266" t="s">
        <v>183</v>
      </c>
      <c r="E134" s="270"/>
      <c r="F134" s="266" t="s">
        <v>2940</v>
      </c>
      <c r="G134" s="270" t="s">
        <v>164</v>
      </c>
      <c r="H134" s="266" t="s">
        <v>324</v>
      </c>
      <c r="I134" s="266"/>
      <c r="J134" s="266"/>
      <c r="K134" s="266">
        <v>1500</v>
      </c>
      <c r="L134" s="271" t="s">
        <v>2962</v>
      </c>
      <c r="M134" s="266" t="s">
        <v>2959</v>
      </c>
      <c r="N134" s="267"/>
      <c r="O134" s="268"/>
      <c r="P134" s="269"/>
      <c r="Q134" s="266" t="s">
        <v>2946</v>
      </c>
      <c r="R134" s="270" t="s">
        <v>2979</v>
      </c>
    </row>
    <row r="135" spans="1:18" ht="46" x14ac:dyDescent="0.35">
      <c r="A135" s="266" t="s">
        <v>2652</v>
      </c>
      <c r="B135" s="266" t="s">
        <v>2914</v>
      </c>
      <c r="C135" s="270" t="s">
        <v>2934</v>
      </c>
      <c r="D135" s="266" t="s">
        <v>183</v>
      </c>
      <c r="E135" s="270"/>
      <c r="F135" s="266" t="s">
        <v>2940</v>
      </c>
      <c r="G135" s="270" t="s">
        <v>220</v>
      </c>
      <c r="H135" s="266" t="s">
        <v>324</v>
      </c>
      <c r="I135" s="266"/>
      <c r="J135" s="266"/>
      <c r="K135" s="266">
        <v>6000</v>
      </c>
      <c r="L135" s="272" t="s">
        <v>2970</v>
      </c>
      <c r="M135" s="270" t="s">
        <v>2954</v>
      </c>
      <c r="N135" s="267"/>
      <c r="O135" s="268"/>
      <c r="P135" s="269"/>
      <c r="Q135" s="266" t="s">
        <v>2949</v>
      </c>
      <c r="R135" s="270" t="s">
        <v>2980</v>
      </c>
    </row>
    <row r="136" spans="1:18" ht="23" x14ac:dyDescent="0.35">
      <c r="A136" s="266" t="s">
        <v>2652</v>
      </c>
      <c r="B136" s="266" t="s">
        <v>2914</v>
      </c>
      <c r="C136" s="270" t="s">
        <v>2935</v>
      </c>
      <c r="D136" s="266" t="s">
        <v>183</v>
      </c>
      <c r="E136" s="270"/>
      <c r="F136" s="266" t="s">
        <v>2940</v>
      </c>
      <c r="G136" s="270" t="s">
        <v>223</v>
      </c>
      <c r="H136" s="266" t="s">
        <v>324</v>
      </c>
      <c r="I136" s="266"/>
      <c r="J136" s="266"/>
      <c r="K136" s="266">
        <v>2000</v>
      </c>
      <c r="L136" s="271" t="s">
        <v>2958</v>
      </c>
      <c r="M136" s="266" t="s">
        <v>2960</v>
      </c>
      <c r="N136" s="267"/>
      <c r="O136" s="268"/>
      <c r="P136" s="269"/>
      <c r="Q136" s="266" t="s">
        <v>2948</v>
      </c>
      <c r="R136" s="266" t="s">
        <v>2985</v>
      </c>
    </row>
    <row r="137" spans="1:18" ht="34.5" x14ac:dyDescent="0.35">
      <c r="A137" s="266" t="s">
        <v>2652</v>
      </c>
      <c r="B137" s="266" t="s">
        <v>2914</v>
      </c>
      <c r="C137" s="270" t="s">
        <v>2936</v>
      </c>
      <c r="D137" s="266" t="s">
        <v>183</v>
      </c>
      <c r="E137" s="270"/>
      <c r="F137" s="266" t="s">
        <v>2940</v>
      </c>
      <c r="G137" s="270" t="s">
        <v>233</v>
      </c>
      <c r="H137" s="266" t="s">
        <v>324</v>
      </c>
      <c r="I137" s="266"/>
      <c r="J137" s="266"/>
      <c r="K137" s="266">
        <v>6000</v>
      </c>
      <c r="L137" s="271" t="s">
        <v>2966</v>
      </c>
      <c r="M137" s="266" t="s">
        <v>2961</v>
      </c>
      <c r="N137" s="267"/>
      <c r="O137" s="268"/>
      <c r="P137" s="269"/>
      <c r="Q137" s="266" t="s">
        <v>2945</v>
      </c>
      <c r="R137" s="270" t="s">
        <v>2974</v>
      </c>
    </row>
    <row r="138" spans="1:18" ht="57.5" x14ac:dyDescent="0.35">
      <c r="A138" s="266" t="s">
        <v>2652</v>
      </c>
      <c r="B138" s="266" t="s">
        <v>2914</v>
      </c>
      <c r="C138" s="270" t="s">
        <v>2937</v>
      </c>
      <c r="D138" s="266" t="s">
        <v>183</v>
      </c>
      <c r="E138" s="270"/>
      <c r="F138" s="266" t="s">
        <v>2940</v>
      </c>
      <c r="G138" s="270" t="s">
        <v>181</v>
      </c>
      <c r="H138" s="266" t="s">
        <v>324</v>
      </c>
      <c r="I138" s="266"/>
      <c r="J138" s="266"/>
      <c r="K138" s="266">
        <v>3000</v>
      </c>
      <c r="L138" s="271" t="s">
        <v>2955</v>
      </c>
      <c r="M138" s="266" t="s">
        <v>2954</v>
      </c>
      <c r="N138" s="267"/>
      <c r="O138" s="268"/>
      <c r="P138" s="269"/>
      <c r="Q138" s="266" t="s">
        <v>327</v>
      </c>
      <c r="R138" s="266" t="s">
        <v>2975</v>
      </c>
    </row>
    <row r="139" spans="1:18" ht="103.5" x14ac:dyDescent="0.35">
      <c r="A139" s="266" t="s">
        <v>2652</v>
      </c>
      <c r="B139" s="266" t="s">
        <v>2914</v>
      </c>
      <c r="C139" s="266" t="s">
        <v>2972</v>
      </c>
      <c r="D139" s="266"/>
      <c r="E139" s="266"/>
      <c r="F139" s="266" t="s">
        <v>2973</v>
      </c>
      <c r="G139" s="266"/>
      <c r="H139" s="266" t="s">
        <v>2989</v>
      </c>
      <c r="I139" s="266"/>
      <c r="J139" s="266" t="s">
        <v>2990</v>
      </c>
      <c r="K139" s="266"/>
      <c r="L139" s="266"/>
      <c r="M139" s="266"/>
      <c r="N139" s="267"/>
      <c r="O139" s="268"/>
      <c r="P139" s="269"/>
      <c r="Q139" s="266"/>
      <c r="R139" s="266" t="s">
        <v>2991</v>
      </c>
    </row>
    <row r="140" spans="1:18" ht="46" x14ac:dyDescent="0.35">
      <c r="A140" s="266" t="s">
        <v>2652</v>
      </c>
      <c r="B140" s="266" t="s">
        <v>2914</v>
      </c>
      <c r="C140" s="270" t="s">
        <v>2938</v>
      </c>
      <c r="D140" s="266" t="s">
        <v>183</v>
      </c>
      <c r="E140" s="270" t="s">
        <v>159</v>
      </c>
      <c r="F140" s="266" t="s">
        <v>2940</v>
      </c>
      <c r="G140" s="270" t="s">
        <v>1679</v>
      </c>
      <c r="H140" s="266" t="s">
        <v>324</v>
      </c>
      <c r="I140" s="266"/>
      <c r="J140" s="266"/>
      <c r="K140" s="266">
        <v>4500</v>
      </c>
      <c r="L140" s="271" t="s">
        <v>2971</v>
      </c>
      <c r="M140" s="266" t="s">
        <v>2961</v>
      </c>
      <c r="N140" s="267"/>
      <c r="O140" s="268"/>
      <c r="P140" s="269"/>
      <c r="Q140" s="266" t="s">
        <v>2943</v>
      </c>
      <c r="R140" s="266" t="s">
        <v>2976</v>
      </c>
    </row>
    <row r="141" spans="1:18" ht="46" x14ac:dyDescent="0.35">
      <c r="A141" s="266" t="s">
        <v>2652</v>
      </c>
      <c r="B141" s="266" t="s">
        <v>2914</v>
      </c>
      <c r="C141" s="270" t="s">
        <v>2939</v>
      </c>
      <c r="D141" s="266" t="s">
        <v>183</v>
      </c>
      <c r="E141" s="270"/>
      <c r="F141" s="266" t="s">
        <v>2940</v>
      </c>
      <c r="G141" s="270" t="s">
        <v>249</v>
      </c>
      <c r="H141" s="266" t="s">
        <v>324</v>
      </c>
      <c r="I141" s="266"/>
      <c r="J141" s="266"/>
      <c r="K141" s="266">
        <v>2500</v>
      </c>
      <c r="L141" s="271" t="s">
        <v>2953</v>
      </c>
      <c r="M141" s="266" t="s">
        <v>2959</v>
      </c>
      <c r="N141" s="267"/>
      <c r="O141" s="268"/>
      <c r="P141" s="269"/>
      <c r="Q141" s="266" t="s">
        <v>2944</v>
      </c>
      <c r="R141" s="266" t="s">
        <v>2977</v>
      </c>
    </row>
    <row r="142" spans="1:18" ht="23" x14ac:dyDescent="0.35">
      <c r="A142" s="216" t="s">
        <v>2822</v>
      </c>
      <c r="B142" s="216" t="s">
        <v>2494</v>
      </c>
      <c r="C142" s="216" t="s">
        <v>2749</v>
      </c>
      <c r="D142" s="216" t="s">
        <v>183</v>
      </c>
      <c r="F142" s="216" t="s">
        <v>1663</v>
      </c>
      <c r="G142" s="216" t="s">
        <v>253</v>
      </c>
      <c r="H142" s="216" t="s">
        <v>1681</v>
      </c>
      <c r="I142" s="216" t="s">
        <v>833</v>
      </c>
      <c r="J142" s="216" t="s">
        <v>1710</v>
      </c>
      <c r="K142" s="216">
        <v>3000</v>
      </c>
      <c r="M142" s="216" t="s">
        <v>182</v>
      </c>
      <c r="N142" s="263"/>
      <c r="O142" s="263"/>
      <c r="P142" s="263"/>
      <c r="Q142" s="216" t="s">
        <v>843</v>
      </c>
      <c r="R142" s="216" t="s">
        <v>2392</v>
      </c>
    </row>
    <row r="143" spans="1:18" ht="23" x14ac:dyDescent="0.35">
      <c r="A143" s="216" t="s">
        <v>2822</v>
      </c>
      <c r="B143" s="216" t="s">
        <v>2494</v>
      </c>
      <c r="C143" s="216" t="s">
        <v>2739</v>
      </c>
      <c r="D143" s="216" t="s">
        <v>183</v>
      </c>
      <c r="F143" s="216" t="s">
        <v>184</v>
      </c>
      <c r="G143" s="216" t="s">
        <v>841</v>
      </c>
      <c r="H143" s="216" t="s">
        <v>1633</v>
      </c>
      <c r="K143" s="216">
        <v>3000</v>
      </c>
      <c r="M143" s="216" t="s">
        <v>850</v>
      </c>
      <c r="N143" s="263"/>
      <c r="O143" s="263"/>
      <c r="P143" s="263"/>
      <c r="Q143" s="216" t="s">
        <v>2742</v>
      </c>
    </row>
    <row r="144" spans="1:18" ht="23" x14ac:dyDescent="0.35">
      <c r="A144" s="216" t="s">
        <v>2822</v>
      </c>
      <c r="B144" s="216" t="s">
        <v>2494</v>
      </c>
      <c r="C144" s="216" t="s">
        <v>2740</v>
      </c>
      <c r="D144" s="216" t="s">
        <v>183</v>
      </c>
      <c r="F144" s="216" t="s">
        <v>1671</v>
      </c>
      <c r="G144" s="216" t="s">
        <v>1590</v>
      </c>
      <c r="H144" s="216" t="s">
        <v>2743</v>
      </c>
      <c r="I144" s="216" t="s">
        <v>164</v>
      </c>
      <c r="J144" s="216" t="s">
        <v>2744</v>
      </c>
      <c r="K144" s="216" t="s">
        <v>1647</v>
      </c>
      <c r="N144" s="263"/>
      <c r="O144" s="263"/>
      <c r="P144" s="263"/>
      <c r="Q144" s="216" t="s">
        <v>1652</v>
      </c>
      <c r="R144" s="216" t="s">
        <v>2745</v>
      </c>
    </row>
    <row r="145" spans="1:18" ht="23" x14ac:dyDescent="0.35">
      <c r="A145" s="216" t="s">
        <v>2822</v>
      </c>
      <c r="B145" s="216" t="s">
        <v>2494</v>
      </c>
      <c r="C145" s="216" t="s">
        <v>2741</v>
      </c>
      <c r="D145" s="216" t="s">
        <v>183</v>
      </c>
      <c r="E145" s="216" t="s">
        <v>159</v>
      </c>
      <c r="F145" s="216" t="s">
        <v>210</v>
      </c>
      <c r="G145" s="216" t="s">
        <v>1656</v>
      </c>
      <c r="H145" s="216" t="s">
        <v>880</v>
      </c>
      <c r="I145" s="216" t="s">
        <v>233</v>
      </c>
      <c r="J145" s="216" t="s">
        <v>880</v>
      </c>
      <c r="K145" s="216">
        <v>2000</v>
      </c>
      <c r="N145" s="263"/>
      <c r="O145" s="263"/>
      <c r="P145" s="263"/>
      <c r="Q145" s="216" t="s">
        <v>1652</v>
      </c>
      <c r="R145" s="216" t="s">
        <v>2747</v>
      </c>
    </row>
    <row r="146" spans="1:18" ht="23" x14ac:dyDescent="0.35">
      <c r="A146" s="216" t="s">
        <v>2822</v>
      </c>
      <c r="B146" s="216" t="s">
        <v>2494</v>
      </c>
      <c r="C146" s="216" t="s">
        <v>2746</v>
      </c>
      <c r="D146" s="216" t="s">
        <v>183</v>
      </c>
      <c r="E146" s="216" t="s">
        <v>159</v>
      </c>
      <c r="F146" s="216" t="s">
        <v>30</v>
      </c>
      <c r="G146" s="216" t="s">
        <v>217</v>
      </c>
      <c r="H146" s="216" t="s">
        <v>1674</v>
      </c>
      <c r="I146" s="216" t="s">
        <v>1679</v>
      </c>
      <c r="J146" s="216" t="s">
        <v>644</v>
      </c>
      <c r="K146" s="216" t="s">
        <v>211</v>
      </c>
      <c r="N146" s="263"/>
      <c r="O146" s="263"/>
      <c r="P146" s="263"/>
      <c r="Q146" s="216" t="s">
        <v>1652</v>
      </c>
      <c r="R146" s="216" t="s">
        <v>2748</v>
      </c>
    </row>
    <row r="147" spans="1:18" ht="23" x14ac:dyDescent="0.35">
      <c r="A147" s="216" t="s">
        <v>2055</v>
      </c>
      <c r="B147" s="216" t="s">
        <v>2494</v>
      </c>
      <c r="C147" s="216" t="s">
        <v>1639</v>
      </c>
      <c r="D147" s="216" t="s">
        <v>183</v>
      </c>
      <c r="E147" s="216" t="s">
        <v>159</v>
      </c>
      <c r="F147" s="216" t="s">
        <v>30</v>
      </c>
      <c r="G147" s="216" t="s">
        <v>164</v>
      </c>
      <c r="H147" s="216" t="s">
        <v>1736</v>
      </c>
      <c r="I147" s="216" t="s">
        <v>1651</v>
      </c>
      <c r="J147" s="216" t="s">
        <v>644</v>
      </c>
      <c r="K147" s="216" t="s">
        <v>211</v>
      </c>
      <c r="N147" s="263"/>
      <c r="O147" s="263"/>
      <c r="P147" s="263"/>
      <c r="Q147" s="216" t="s">
        <v>1652</v>
      </c>
      <c r="R147" s="216" t="s">
        <v>2524</v>
      </c>
    </row>
    <row r="148" spans="1:18" ht="23" x14ac:dyDescent="0.35">
      <c r="A148" s="216" t="s">
        <v>2055</v>
      </c>
      <c r="B148" s="216" t="s">
        <v>2494</v>
      </c>
      <c r="C148" s="216" t="s">
        <v>1657</v>
      </c>
      <c r="D148" s="216" t="s">
        <v>183</v>
      </c>
      <c r="F148" s="216" t="s">
        <v>184</v>
      </c>
      <c r="G148" s="216" t="s">
        <v>196</v>
      </c>
      <c r="H148" s="216" t="s">
        <v>1633</v>
      </c>
      <c r="K148" s="216">
        <v>3000</v>
      </c>
      <c r="M148" s="216" t="s">
        <v>850</v>
      </c>
      <c r="N148" s="263"/>
      <c r="O148" s="263"/>
      <c r="P148" s="263"/>
      <c r="Q148" s="216" t="s">
        <v>1904</v>
      </c>
    </row>
    <row r="149" spans="1:18" ht="23" x14ac:dyDescent="0.35">
      <c r="A149" s="216" t="s">
        <v>2055</v>
      </c>
      <c r="B149" s="216" t="s">
        <v>2494</v>
      </c>
      <c r="C149" s="216" t="s">
        <v>1661</v>
      </c>
      <c r="D149" s="216" t="s">
        <v>183</v>
      </c>
      <c r="F149" s="216" t="s">
        <v>184</v>
      </c>
      <c r="G149" s="216" t="s">
        <v>181</v>
      </c>
      <c r="H149" s="216" t="s">
        <v>1633</v>
      </c>
      <c r="K149" s="216">
        <v>2000</v>
      </c>
      <c r="N149" s="263"/>
      <c r="O149" s="263"/>
      <c r="P149" s="263"/>
      <c r="Q149" s="216" t="s">
        <v>1666</v>
      </c>
      <c r="R149" s="216" t="s">
        <v>2951</v>
      </c>
    </row>
    <row r="150" spans="1:18" ht="23" x14ac:dyDescent="0.35">
      <c r="A150" s="216" t="s">
        <v>2055</v>
      </c>
      <c r="B150" s="216" t="s">
        <v>2494</v>
      </c>
      <c r="C150" s="216" t="s">
        <v>1636</v>
      </c>
      <c r="D150" s="216" t="s">
        <v>183</v>
      </c>
      <c r="E150" s="216" t="s">
        <v>159</v>
      </c>
      <c r="F150" s="216" t="s">
        <v>30</v>
      </c>
      <c r="G150" s="216" t="s">
        <v>180</v>
      </c>
      <c r="H150" s="216" t="s">
        <v>1631</v>
      </c>
      <c r="I150" s="216" t="s">
        <v>1632</v>
      </c>
      <c r="J150" s="216" t="s">
        <v>644</v>
      </c>
      <c r="K150" s="216" t="s">
        <v>211</v>
      </c>
      <c r="N150" s="263"/>
      <c r="O150" s="263"/>
      <c r="P150" s="263"/>
      <c r="Q150" s="216" t="s">
        <v>1652</v>
      </c>
      <c r="R150" s="216" t="s">
        <v>2525</v>
      </c>
    </row>
    <row r="151" spans="1:18" ht="23" x14ac:dyDescent="0.35">
      <c r="A151" s="216" t="s">
        <v>2055</v>
      </c>
      <c r="B151" s="216" t="s">
        <v>2494</v>
      </c>
      <c r="C151" s="216" t="s">
        <v>1635</v>
      </c>
      <c r="D151" s="216" t="s">
        <v>183</v>
      </c>
      <c r="E151" s="216" t="s">
        <v>159</v>
      </c>
      <c r="F151" s="216" t="s">
        <v>210</v>
      </c>
      <c r="G151" s="216" t="s">
        <v>1642</v>
      </c>
      <c r="H151" s="216" t="s">
        <v>880</v>
      </c>
      <c r="I151" s="216" t="s">
        <v>203</v>
      </c>
      <c r="J151" s="216" t="s">
        <v>880</v>
      </c>
      <c r="K151" s="216">
        <v>2000</v>
      </c>
      <c r="N151" s="263"/>
      <c r="O151" s="263"/>
      <c r="P151" s="263"/>
      <c r="Q151" s="216" t="s">
        <v>1652</v>
      </c>
      <c r="R151" s="216" t="s">
        <v>2526</v>
      </c>
    </row>
    <row r="152" spans="1:18" ht="23" x14ac:dyDescent="0.35">
      <c r="A152" s="216" t="s">
        <v>2055</v>
      </c>
      <c r="B152" s="216" t="s">
        <v>2494</v>
      </c>
      <c r="C152" s="216" t="s">
        <v>1634</v>
      </c>
      <c r="D152" s="216" t="s">
        <v>183</v>
      </c>
      <c r="F152" s="216" t="s">
        <v>1643</v>
      </c>
      <c r="G152" s="216" t="s">
        <v>1644</v>
      </c>
      <c r="H152" s="216" t="s">
        <v>1645</v>
      </c>
      <c r="I152" s="216" t="s">
        <v>251</v>
      </c>
      <c r="J152" s="216" t="s">
        <v>1646</v>
      </c>
      <c r="K152" s="216" t="s">
        <v>1647</v>
      </c>
      <c r="N152" s="263"/>
      <c r="O152" s="263"/>
      <c r="P152" s="263"/>
      <c r="Q152" s="216" t="s">
        <v>1652</v>
      </c>
      <c r="R152" s="216" t="s">
        <v>2519</v>
      </c>
    </row>
    <row r="153" spans="1:18" ht="23" x14ac:dyDescent="0.35">
      <c r="A153" s="216" t="s">
        <v>2055</v>
      </c>
      <c r="B153" s="216" t="s">
        <v>2494</v>
      </c>
      <c r="C153" s="216" t="s">
        <v>1640</v>
      </c>
      <c r="D153" s="216" t="s">
        <v>183</v>
      </c>
      <c r="F153" s="216" t="s">
        <v>210</v>
      </c>
      <c r="G153" s="216" t="s">
        <v>1590</v>
      </c>
      <c r="H153" s="216" t="s">
        <v>1655</v>
      </c>
      <c r="I153" s="216" t="s">
        <v>162</v>
      </c>
      <c r="J153" s="216" t="s">
        <v>1646</v>
      </c>
      <c r="K153" s="216" t="s">
        <v>1647</v>
      </c>
      <c r="N153" s="263"/>
      <c r="O153" s="263"/>
      <c r="P153" s="263"/>
      <c r="Q153" s="216" t="s">
        <v>286</v>
      </c>
      <c r="R153" s="216" t="s">
        <v>2390</v>
      </c>
    </row>
    <row r="154" spans="1:18" ht="23" x14ac:dyDescent="0.35">
      <c r="A154" s="216" t="s">
        <v>2055</v>
      </c>
      <c r="B154" s="216" t="s">
        <v>2494</v>
      </c>
      <c r="C154" s="216" t="s">
        <v>1658</v>
      </c>
      <c r="D154" s="216" t="s">
        <v>183</v>
      </c>
      <c r="F154" s="216" t="s">
        <v>1660</v>
      </c>
      <c r="G154" s="216" t="s">
        <v>244</v>
      </c>
      <c r="H154" s="216" t="s">
        <v>1631</v>
      </c>
      <c r="I154" s="216" t="s">
        <v>1644</v>
      </c>
      <c r="J154" s="216" t="s">
        <v>644</v>
      </c>
      <c r="K154" s="216" t="s">
        <v>211</v>
      </c>
      <c r="N154" s="263"/>
      <c r="O154" s="263"/>
      <c r="P154" s="263"/>
      <c r="Q154" s="216" t="s">
        <v>1652</v>
      </c>
      <c r="R154" s="216" t="s">
        <v>2527</v>
      </c>
    </row>
    <row r="155" spans="1:18" ht="23" x14ac:dyDescent="0.35">
      <c r="A155" s="216" t="s">
        <v>2055</v>
      </c>
      <c r="B155" s="216" t="s">
        <v>2494</v>
      </c>
      <c r="C155" s="216" t="s">
        <v>2537</v>
      </c>
      <c r="D155" s="216" t="s">
        <v>183</v>
      </c>
      <c r="F155" s="216" t="s">
        <v>1663</v>
      </c>
      <c r="G155" s="216" t="s">
        <v>220</v>
      </c>
      <c r="H155" s="216" t="s">
        <v>2538</v>
      </c>
      <c r="I155" s="216" t="s">
        <v>1595</v>
      </c>
      <c r="J155" s="216" t="s">
        <v>644</v>
      </c>
      <c r="K155" s="216" t="s">
        <v>211</v>
      </c>
      <c r="N155" s="263"/>
      <c r="O155" s="263"/>
      <c r="P155" s="263"/>
      <c r="Q155" s="216" t="s">
        <v>1652</v>
      </c>
      <c r="R155" s="216" t="s">
        <v>2528</v>
      </c>
    </row>
    <row r="156" spans="1:18" ht="23" x14ac:dyDescent="0.35">
      <c r="A156" s="216" t="s">
        <v>2055</v>
      </c>
      <c r="B156" s="216" t="s">
        <v>2494</v>
      </c>
      <c r="C156" s="216" t="s">
        <v>1637</v>
      </c>
      <c r="D156" s="216" t="s">
        <v>183</v>
      </c>
      <c r="F156" s="216" t="s">
        <v>184</v>
      </c>
      <c r="G156" s="216" t="s">
        <v>212</v>
      </c>
      <c r="H156" s="216" t="s">
        <v>1633</v>
      </c>
      <c r="K156" s="216">
        <v>4000</v>
      </c>
      <c r="M156" s="216" t="s">
        <v>850</v>
      </c>
      <c r="N156" s="263"/>
      <c r="O156" s="263"/>
      <c r="P156" s="263"/>
      <c r="Q156" s="216" t="s">
        <v>1918</v>
      </c>
    </row>
    <row r="157" spans="1:18" ht="23" x14ac:dyDescent="0.35">
      <c r="A157" s="216" t="s">
        <v>2055</v>
      </c>
      <c r="B157" s="216" t="s">
        <v>2494</v>
      </c>
      <c r="C157" s="216" t="s">
        <v>1638</v>
      </c>
      <c r="D157" s="216" t="s">
        <v>183</v>
      </c>
      <c r="F157" s="216" t="s">
        <v>1649</v>
      </c>
      <c r="G157" s="216" t="s">
        <v>1650</v>
      </c>
      <c r="H157" s="216" t="s">
        <v>1653</v>
      </c>
      <c r="I157" s="216" t="s">
        <v>253</v>
      </c>
      <c r="J157" s="216" t="s">
        <v>1654</v>
      </c>
      <c r="K157" s="216">
        <v>1800</v>
      </c>
      <c r="N157" s="263"/>
      <c r="O157" s="263"/>
      <c r="P157" s="263"/>
      <c r="Q157" s="216" t="s">
        <v>1652</v>
      </c>
      <c r="R157" s="216" t="s">
        <v>2529</v>
      </c>
    </row>
    <row r="158" spans="1:18" ht="23" x14ac:dyDescent="0.35">
      <c r="A158" s="216" t="s">
        <v>2055</v>
      </c>
      <c r="B158" s="216" t="s">
        <v>2494</v>
      </c>
      <c r="C158" s="216" t="s">
        <v>1641</v>
      </c>
      <c r="D158" s="216" t="s">
        <v>183</v>
      </c>
      <c r="F158" s="216" t="s">
        <v>30</v>
      </c>
      <c r="G158" s="216" t="s">
        <v>249</v>
      </c>
      <c r="H158" s="216" t="s">
        <v>1631</v>
      </c>
      <c r="I158" s="216" t="s">
        <v>1656</v>
      </c>
      <c r="J158" s="216" t="s">
        <v>644</v>
      </c>
      <c r="K158" s="216" t="s">
        <v>211</v>
      </c>
      <c r="M158" s="216" t="s">
        <v>202</v>
      </c>
      <c r="N158" s="263"/>
      <c r="O158" s="263"/>
      <c r="P158" s="263"/>
      <c r="Q158" s="216" t="s">
        <v>843</v>
      </c>
      <c r="R158" s="216" t="s">
        <v>2392</v>
      </c>
    </row>
    <row r="159" spans="1:18" ht="23" x14ac:dyDescent="0.35">
      <c r="A159" s="216" t="s">
        <v>2055</v>
      </c>
      <c r="B159" s="216" t="s">
        <v>2494</v>
      </c>
      <c r="C159" s="216" t="s">
        <v>1659</v>
      </c>
      <c r="D159" s="216" t="s">
        <v>183</v>
      </c>
      <c r="F159" s="216" t="s">
        <v>184</v>
      </c>
      <c r="G159" s="216" t="s">
        <v>203</v>
      </c>
      <c r="H159" s="216" t="s">
        <v>1633</v>
      </c>
      <c r="K159" s="216">
        <v>2000</v>
      </c>
      <c r="N159" s="263"/>
      <c r="O159" s="263"/>
      <c r="P159" s="263"/>
      <c r="Q159" s="216" t="s">
        <v>1666</v>
      </c>
      <c r="R159" s="216" t="s">
        <v>2951</v>
      </c>
    </row>
    <row r="160" spans="1:18" ht="23" x14ac:dyDescent="0.35">
      <c r="A160" s="216" t="s">
        <v>2055</v>
      </c>
      <c r="B160" s="216" t="s">
        <v>2494</v>
      </c>
      <c r="C160" s="216" t="s">
        <v>1662</v>
      </c>
      <c r="D160" s="216" t="s">
        <v>183</v>
      </c>
      <c r="F160" s="216" t="s">
        <v>1663</v>
      </c>
      <c r="G160" s="216" t="s">
        <v>162</v>
      </c>
      <c r="H160" s="216" t="s">
        <v>1664</v>
      </c>
      <c r="I160" s="216" t="s">
        <v>1590</v>
      </c>
      <c r="J160" s="216" t="s">
        <v>1665</v>
      </c>
      <c r="K160" s="216">
        <v>3500</v>
      </c>
      <c r="N160" s="263"/>
      <c r="O160" s="263"/>
      <c r="P160" s="263"/>
      <c r="Q160" s="216" t="s">
        <v>1652</v>
      </c>
      <c r="R160" s="216" t="s">
        <v>2530</v>
      </c>
    </row>
    <row r="161" spans="1:18" ht="23" x14ac:dyDescent="0.35">
      <c r="A161" s="216" t="s">
        <v>2055</v>
      </c>
      <c r="B161" s="216" t="s">
        <v>2494</v>
      </c>
      <c r="C161" s="216" t="s">
        <v>1667</v>
      </c>
      <c r="D161" s="216" t="s">
        <v>183</v>
      </c>
      <c r="F161" s="216" t="s">
        <v>1663</v>
      </c>
      <c r="G161" s="216" t="s">
        <v>168</v>
      </c>
      <c r="H161" s="216" t="s">
        <v>1664</v>
      </c>
      <c r="I161" s="216" t="s">
        <v>1590</v>
      </c>
      <c r="J161" s="216" t="s">
        <v>644</v>
      </c>
      <c r="K161" s="216" t="s">
        <v>211</v>
      </c>
      <c r="N161" s="263"/>
      <c r="O161" s="263"/>
      <c r="P161" s="263"/>
      <c r="Q161" s="216" t="s">
        <v>1652</v>
      </c>
      <c r="R161" s="216" t="s">
        <v>2531</v>
      </c>
    </row>
    <row r="162" spans="1:18" ht="23" x14ac:dyDescent="0.35">
      <c r="A162" s="216" t="s">
        <v>2055</v>
      </c>
      <c r="B162" s="216" t="s">
        <v>2494</v>
      </c>
      <c r="C162" s="216" t="s">
        <v>1648</v>
      </c>
      <c r="D162" s="216" t="s">
        <v>183</v>
      </c>
      <c r="F162" s="216" t="s">
        <v>184</v>
      </c>
      <c r="G162" s="216" t="s">
        <v>161</v>
      </c>
      <c r="H162" s="216" t="s">
        <v>1630</v>
      </c>
      <c r="K162" s="216">
        <v>2500</v>
      </c>
      <c r="M162" s="216" t="s">
        <v>850</v>
      </c>
      <c r="N162" s="263"/>
      <c r="O162" s="263"/>
      <c r="P162" s="263"/>
      <c r="Q162" s="216" t="s">
        <v>1919</v>
      </c>
    </row>
    <row r="163" spans="1:18" ht="23" x14ac:dyDescent="0.35">
      <c r="A163" s="216" t="s">
        <v>2055</v>
      </c>
      <c r="B163" s="216" t="s">
        <v>2494</v>
      </c>
      <c r="C163" s="216" t="s">
        <v>1669</v>
      </c>
      <c r="D163" s="216" t="s">
        <v>183</v>
      </c>
      <c r="F163" s="216" t="s">
        <v>1660</v>
      </c>
      <c r="G163" s="216" t="s">
        <v>180</v>
      </c>
      <c r="H163" s="216" t="s">
        <v>1674</v>
      </c>
      <c r="I163" s="216" t="s">
        <v>1599</v>
      </c>
      <c r="J163" s="216" t="s">
        <v>644</v>
      </c>
      <c r="K163" s="216" t="s">
        <v>211</v>
      </c>
      <c r="N163" s="263"/>
      <c r="O163" s="263"/>
      <c r="P163" s="263"/>
      <c r="Q163" s="216" t="s">
        <v>1652</v>
      </c>
      <c r="R163" s="216" t="s">
        <v>2532</v>
      </c>
    </row>
    <row r="164" spans="1:18" ht="23" x14ac:dyDescent="0.35">
      <c r="A164" s="216" t="s">
        <v>2055</v>
      </c>
      <c r="B164" s="216" t="s">
        <v>2494</v>
      </c>
      <c r="C164" s="216" t="s">
        <v>1675</v>
      </c>
      <c r="D164" s="216" t="s">
        <v>183</v>
      </c>
      <c r="F164" s="216" t="s">
        <v>30</v>
      </c>
      <c r="G164" s="216" t="s">
        <v>217</v>
      </c>
      <c r="H164" s="216" t="s">
        <v>1631</v>
      </c>
      <c r="I164" s="216" t="s">
        <v>1682</v>
      </c>
      <c r="J164" s="216" t="s">
        <v>644</v>
      </c>
      <c r="K164" s="216" t="s">
        <v>211</v>
      </c>
      <c r="M164" s="216" t="s">
        <v>182</v>
      </c>
      <c r="N164" s="263"/>
      <c r="O164" s="263"/>
      <c r="P164" s="263"/>
      <c r="Q164" s="216" t="s">
        <v>843</v>
      </c>
      <c r="R164" s="216" t="s">
        <v>2392</v>
      </c>
    </row>
    <row r="165" spans="1:18" ht="23" x14ac:dyDescent="0.35">
      <c r="A165" s="216" t="s">
        <v>2055</v>
      </c>
      <c r="B165" s="216" t="s">
        <v>2494</v>
      </c>
      <c r="C165" s="216" t="s">
        <v>944</v>
      </c>
      <c r="D165" s="216" t="s">
        <v>183</v>
      </c>
      <c r="F165" s="216" t="s">
        <v>30</v>
      </c>
      <c r="G165" s="216" t="s">
        <v>166</v>
      </c>
      <c r="H165" s="216" t="s">
        <v>1680</v>
      </c>
      <c r="I165" s="216" t="s">
        <v>1656</v>
      </c>
      <c r="J165" s="216" t="s">
        <v>1684</v>
      </c>
      <c r="K165" s="216">
        <v>3000</v>
      </c>
      <c r="M165" s="216" t="s">
        <v>202</v>
      </c>
      <c r="N165" s="263"/>
      <c r="O165" s="263"/>
      <c r="P165" s="263"/>
      <c r="Q165" s="216" t="s">
        <v>843</v>
      </c>
      <c r="R165" s="216" t="s">
        <v>2392</v>
      </c>
    </row>
    <row r="166" spans="1:18" ht="23" x14ac:dyDescent="0.35">
      <c r="A166" s="216" t="s">
        <v>2055</v>
      </c>
      <c r="B166" s="216" t="s">
        <v>2494</v>
      </c>
      <c r="C166" s="216" t="s">
        <v>1668</v>
      </c>
      <c r="D166" s="216" t="s">
        <v>183</v>
      </c>
      <c r="F166" s="216" t="s">
        <v>1671</v>
      </c>
      <c r="G166" s="216" t="s">
        <v>1672</v>
      </c>
      <c r="H166" s="216" t="s">
        <v>1673</v>
      </c>
      <c r="I166" s="216" t="s">
        <v>161</v>
      </c>
      <c r="J166" s="216" t="s">
        <v>1646</v>
      </c>
      <c r="K166" s="216" t="s">
        <v>1647</v>
      </c>
      <c r="N166" s="263"/>
      <c r="O166" s="263"/>
      <c r="P166" s="263"/>
      <c r="Q166" s="216" t="s">
        <v>1652</v>
      </c>
      <c r="R166" s="216" t="s">
        <v>2533</v>
      </c>
    </row>
    <row r="167" spans="1:18" ht="23" x14ac:dyDescent="0.35">
      <c r="A167" s="216" t="s">
        <v>2055</v>
      </c>
      <c r="B167" s="216" t="s">
        <v>2494</v>
      </c>
      <c r="C167" s="216" t="s">
        <v>1670</v>
      </c>
      <c r="D167" s="216" t="s">
        <v>183</v>
      </c>
      <c r="F167" s="216" t="s">
        <v>1663</v>
      </c>
      <c r="G167" s="216" t="s">
        <v>299</v>
      </c>
      <c r="H167" s="216" t="s">
        <v>1664</v>
      </c>
      <c r="I167" s="216" t="s">
        <v>1612</v>
      </c>
      <c r="J167" s="216" t="s">
        <v>644</v>
      </c>
      <c r="K167" s="216" t="s">
        <v>211</v>
      </c>
      <c r="N167" s="263"/>
      <c r="O167" s="263"/>
      <c r="P167" s="263"/>
      <c r="Q167" s="216" t="s">
        <v>1652</v>
      </c>
      <c r="R167" s="216" t="s">
        <v>2534</v>
      </c>
    </row>
    <row r="168" spans="1:18" ht="23" x14ac:dyDescent="0.35">
      <c r="A168" s="216" t="s">
        <v>2055</v>
      </c>
      <c r="B168" s="216" t="s">
        <v>2494</v>
      </c>
      <c r="C168" s="216" t="s">
        <v>1676</v>
      </c>
      <c r="D168" s="216" t="s">
        <v>183</v>
      </c>
      <c r="F168" s="216" t="s">
        <v>184</v>
      </c>
      <c r="G168" s="216" t="s">
        <v>223</v>
      </c>
      <c r="H168" s="216" t="s">
        <v>1633</v>
      </c>
      <c r="K168" s="216">
        <v>3000</v>
      </c>
      <c r="M168" s="216" t="s">
        <v>178</v>
      </c>
      <c r="N168" s="263"/>
      <c r="O168" s="263"/>
      <c r="P168" s="263"/>
      <c r="Q168" s="216" t="s">
        <v>1920</v>
      </c>
    </row>
    <row r="169" spans="1:18" ht="23" x14ac:dyDescent="0.35">
      <c r="A169" s="216" t="s">
        <v>2055</v>
      </c>
      <c r="B169" s="216" t="s">
        <v>2494</v>
      </c>
      <c r="C169" s="216" t="s">
        <v>1677</v>
      </c>
      <c r="D169" s="216" t="s">
        <v>183</v>
      </c>
      <c r="F169" s="216" t="s">
        <v>1663</v>
      </c>
      <c r="G169" s="216" t="s">
        <v>166</v>
      </c>
      <c r="H169" s="216" t="s">
        <v>1681</v>
      </c>
      <c r="I169" s="216" t="s">
        <v>1683</v>
      </c>
      <c r="J169" s="216" t="s">
        <v>1710</v>
      </c>
      <c r="K169" s="216">
        <v>3000</v>
      </c>
      <c r="M169" s="216" t="s">
        <v>850</v>
      </c>
      <c r="N169" s="263"/>
      <c r="O169" s="263"/>
      <c r="P169" s="263"/>
      <c r="Q169" s="216" t="s">
        <v>843</v>
      </c>
      <c r="R169" s="216" t="s">
        <v>2392</v>
      </c>
    </row>
    <row r="170" spans="1:18" ht="23" x14ac:dyDescent="0.35">
      <c r="A170" s="216" t="s">
        <v>2055</v>
      </c>
      <c r="B170" s="216" t="s">
        <v>2494</v>
      </c>
      <c r="C170" s="216" t="s">
        <v>1678</v>
      </c>
      <c r="D170" s="216" t="s">
        <v>183</v>
      </c>
      <c r="F170" s="216" t="s">
        <v>184</v>
      </c>
      <c r="G170" s="216" t="s">
        <v>212</v>
      </c>
      <c r="H170" s="216" t="s">
        <v>1630</v>
      </c>
      <c r="K170" s="216">
        <v>2500</v>
      </c>
      <c r="M170" s="216" t="s">
        <v>850</v>
      </c>
      <c r="N170" s="263"/>
      <c r="O170" s="263"/>
      <c r="P170" s="263"/>
      <c r="Q170" s="216" t="s">
        <v>1921</v>
      </c>
    </row>
    <row r="171" spans="1:18" ht="23" x14ac:dyDescent="0.35">
      <c r="A171" s="216" t="s">
        <v>2055</v>
      </c>
      <c r="B171" s="216" t="s">
        <v>2494</v>
      </c>
      <c r="C171" s="216" t="s">
        <v>1709</v>
      </c>
      <c r="D171" s="216" t="s">
        <v>183</v>
      </c>
      <c r="F171" s="216" t="s">
        <v>210</v>
      </c>
      <c r="G171" s="216" t="s">
        <v>1679</v>
      </c>
      <c r="H171" s="216" t="s">
        <v>880</v>
      </c>
      <c r="I171" s="216" t="s">
        <v>166</v>
      </c>
      <c r="J171" s="216" t="s">
        <v>880</v>
      </c>
      <c r="K171" s="216">
        <v>2000</v>
      </c>
      <c r="N171" s="263"/>
      <c r="O171" s="263"/>
      <c r="P171" s="263"/>
      <c r="Q171" s="216" t="s">
        <v>1652</v>
      </c>
      <c r="R171" s="216" t="s">
        <v>2535</v>
      </c>
    </row>
    <row r="172" spans="1:18" ht="23" x14ac:dyDescent="0.35">
      <c r="A172" s="216" t="s">
        <v>2825</v>
      </c>
      <c r="B172" s="216" t="s">
        <v>221</v>
      </c>
      <c r="C172" s="216" t="s">
        <v>229</v>
      </c>
      <c r="D172" s="216" t="s">
        <v>159</v>
      </c>
      <c r="F172" s="216" t="s">
        <v>160</v>
      </c>
      <c r="G172" s="216" t="s">
        <v>180</v>
      </c>
      <c r="H172" s="216" t="s">
        <v>163</v>
      </c>
      <c r="I172" s="216" t="s">
        <v>164</v>
      </c>
      <c r="J172" s="216" t="s">
        <v>163</v>
      </c>
      <c r="K172" s="216">
        <v>600</v>
      </c>
    </row>
    <row r="173" spans="1:18" ht="23" x14ac:dyDescent="0.35">
      <c r="A173" s="216" t="s">
        <v>2825</v>
      </c>
      <c r="B173" s="216" t="s">
        <v>221</v>
      </c>
      <c r="C173" s="216" t="s">
        <v>226</v>
      </c>
      <c r="D173" s="216" t="s">
        <v>159</v>
      </c>
      <c r="F173" s="216" t="s">
        <v>160</v>
      </c>
      <c r="G173" s="216" t="s">
        <v>180</v>
      </c>
      <c r="H173" s="216" t="s">
        <v>163</v>
      </c>
      <c r="I173" s="216" t="s">
        <v>166</v>
      </c>
      <c r="J173" s="216" t="s">
        <v>163</v>
      </c>
      <c r="K173" s="216">
        <v>600</v>
      </c>
    </row>
    <row r="174" spans="1:18" ht="23" x14ac:dyDescent="0.35">
      <c r="A174" s="216" t="s">
        <v>2825</v>
      </c>
      <c r="B174" s="216" t="s">
        <v>221</v>
      </c>
      <c r="C174" s="216" t="s">
        <v>227</v>
      </c>
      <c r="D174" s="216" t="s">
        <v>159</v>
      </c>
      <c r="F174" s="216" t="s">
        <v>160</v>
      </c>
      <c r="G174" s="216" t="s">
        <v>161</v>
      </c>
      <c r="H174" s="216" t="s">
        <v>228</v>
      </c>
      <c r="I174" s="216" t="s">
        <v>223</v>
      </c>
      <c r="J174" s="216" t="s">
        <v>228</v>
      </c>
      <c r="K174" s="216">
        <v>600</v>
      </c>
    </row>
    <row r="175" spans="1:18" ht="23" x14ac:dyDescent="0.35">
      <c r="A175" s="216" t="s">
        <v>2825</v>
      </c>
      <c r="B175" s="216" t="s">
        <v>221</v>
      </c>
      <c r="C175" s="216" t="s">
        <v>230</v>
      </c>
      <c r="D175" s="216" t="s">
        <v>159</v>
      </c>
      <c r="F175" s="216" t="s">
        <v>160</v>
      </c>
      <c r="G175" s="216" t="s">
        <v>161</v>
      </c>
      <c r="H175" s="216" t="s">
        <v>228</v>
      </c>
      <c r="I175" s="216" t="s">
        <v>180</v>
      </c>
      <c r="J175" s="216" t="s">
        <v>228</v>
      </c>
      <c r="K175" s="216">
        <v>600</v>
      </c>
    </row>
    <row r="176" spans="1:18" ht="23" x14ac:dyDescent="0.35">
      <c r="A176" s="216" t="s">
        <v>2825</v>
      </c>
      <c r="B176" s="216" t="s">
        <v>221</v>
      </c>
      <c r="C176" s="216" t="s">
        <v>225</v>
      </c>
      <c r="D176" s="216" t="s">
        <v>159</v>
      </c>
      <c r="F176" s="216" t="s">
        <v>160</v>
      </c>
      <c r="G176" s="216" t="s">
        <v>180</v>
      </c>
      <c r="H176" s="216" t="s">
        <v>163</v>
      </c>
      <c r="I176" s="216" t="s">
        <v>217</v>
      </c>
      <c r="J176" s="216" t="s">
        <v>163</v>
      </c>
      <c r="K176" s="216">
        <v>600</v>
      </c>
    </row>
    <row r="177" spans="1:14" ht="23" x14ac:dyDescent="0.35">
      <c r="A177" s="216" t="s">
        <v>2825</v>
      </c>
      <c r="B177" s="216" t="s">
        <v>221</v>
      </c>
      <c r="C177" s="216" t="s">
        <v>232</v>
      </c>
      <c r="D177" s="216" t="s">
        <v>159</v>
      </c>
      <c r="F177" s="216" t="s">
        <v>160</v>
      </c>
      <c r="G177" s="216" t="s">
        <v>223</v>
      </c>
      <c r="H177" s="216" t="s">
        <v>231</v>
      </c>
      <c r="I177" s="216" t="s">
        <v>233</v>
      </c>
      <c r="J177" s="216" t="s">
        <v>231</v>
      </c>
      <c r="K177" s="216">
        <v>600</v>
      </c>
      <c r="M177" s="216" t="s">
        <v>198</v>
      </c>
    </row>
    <row r="178" spans="1:14" ht="23" x14ac:dyDescent="0.35">
      <c r="A178" s="216" t="s">
        <v>2825</v>
      </c>
      <c r="B178" s="216" t="s">
        <v>221</v>
      </c>
      <c r="C178" s="216" t="s">
        <v>222</v>
      </c>
      <c r="D178" s="216" t="s">
        <v>159</v>
      </c>
      <c r="F178" s="216" t="s">
        <v>160</v>
      </c>
      <c r="G178" s="216" t="s">
        <v>223</v>
      </c>
      <c r="H178" s="216" t="s">
        <v>231</v>
      </c>
      <c r="I178" s="216" t="s">
        <v>168</v>
      </c>
      <c r="J178" s="216" t="s">
        <v>231</v>
      </c>
      <c r="K178" s="216">
        <v>600</v>
      </c>
      <c r="M178" s="216" t="s">
        <v>198</v>
      </c>
    </row>
    <row r="179" spans="1:14" ht="23" x14ac:dyDescent="0.35">
      <c r="A179" s="216" t="s">
        <v>2825</v>
      </c>
      <c r="B179" s="216" t="s">
        <v>221</v>
      </c>
      <c r="C179" s="216" t="s">
        <v>272</v>
      </c>
      <c r="D179" s="216" t="s">
        <v>159</v>
      </c>
      <c r="E179" s="216" t="s">
        <v>159</v>
      </c>
      <c r="F179" s="216" t="s">
        <v>30</v>
      </c>
      <c r="G179" s="216" t="s">
        <v>217</v>
      </c>
      <c r="H179" s="216" t="s">
        <v>655</v>
      </c>
      <c r="I179" s="216" t="s">
        <v>252</v>
      </c>
      <c r="J179" s="216" t="s">
        <v>655</v>
      </c>
      <c r="K179" s="216">
        <v>900</v>
      </c>
      <c r="M179" s="216" t="s">
        <v>178</v>
      </c>
      <c r="N179" s="230">
        <v>2</v>
      </c>
    </row>
    <row r="180" spans="1:14" ht="23" x14ac:dyDescent="0.35">
      <c r="A180" s="216" t="s">
        <v>2825</v>
      </c>
      <c r="B180" s="216" t="s">
        <v>221</v>
      </c>
      <c r="C180" s="216" t="s">
        <v>272</v>
      </c>
      <c r="D180" s="216" t="s">
        <v>159</v>
      </c>
      <c r="E180" s="216" t="s">
        <v>159</v>
      </c>
      <c r="F180" s="216" t="s">
        <v>30</v>
      </c>
      <c r="G180" s="216" t="s">
        <v>180</v>
      </c>
      <c r="H180" s="216" t="s">
        <v>655</v>
      </c>
      <c r="I180" s="216" t="s">
        <v>212</v>
      </c>
      <c r="J180" s="216" t="s">
        <v>655</v>
      </c>
      <c r="K180" s="216">
        <v>900</v>
      </c>
      <c r="M180" s="216" t="s">
        <v>178</v>
      </c>
      <c r="N180" s="230">
        <v>2</v>
      </c>
    </row>
    <row r="181" spans="1:14" ht="23" x14ac:dyDescent="0.35">
      <c r="A181" s="216" t="s">
        <v>2825</v>
      </c>
      <c r="B181" s="216" t="s">
        <v>221</v>
      </c>
      <c r="C181" s="216" t="s">
        <v>272</v>
      </c>
      <c r="D181" s="216" t="s">
        <v>159</v>
      </c>
      <c r="E181" s="216" t="s">
        <v>159</v>
      </c>
      <c r="F181" s="216" t="s">
        <v>30</v>
      </c>
      <c r="G181" s="216" t="s">
        <v>161</v>
      </c>
      <c r="H181" s="216" t="s">
        <v>655</v>
      </c>
      <c r="I181" s="216" t="s">
        <v>165</v>
      </c>
      <c r="J181" s="216" t="s">
        <v>655</v>
      </c>
      <c r="K181" s="216">
        <v>900</v>
      </c>
      <c r="M181" s="216" t="s">
        <v>178</v>
      </c>
      <c r="N181" s="230">
        <v>2</v>
      </c>
    </row>
    <row r="182" spans="1:14" ht="23" x14ac:dyDescent="0.35">
      <c r="A182" s="216" t="s">
        <v>2825</v>
      </c>
      <c r="B182" s="216" t="s">
        <v>221</v>
      </c>
      <c r="C182" s="216" t="s">
        <v>272</v>
      </c>
      <c r="D182" s="216" t="s">
        <v>159</v>
      </c>
      <c r="E182" s="216" t="s">
        <v>159</v>
      </c>
      <c r="F182" s="216" t="s">
        <v>30</v>
      </c>
      <c r="G182" s="216" t="s">
        <v>253</v>
      </c>
      <c r="H182" s="216" t="s">
        <v>655</v>
      </c>
      <c r="I182" s="216" t="s">
        <v>169</v>
      </c>
      <c r="J182" s="216" t="s">
        <v>655</v>
      </c>
      <c r="K182" s="216">
        <v>900</v>
      </c>
      <c r="M182" s="216" t="s">
        <v>178</v>
      </c>
      <c r="N182" s="230">
        <v>2</v>
      </c>
    </row>
    <row r="183" spans="1:14" ht="23" x14ac:dyDescent="0.35">
      <c r="A183" s="216" t="s">
        <v>2825</v>
      </c>
      <c r="B183" s="216" t="s">
        <v>221</v>
      </c>
      <c r="C183" s="216" t="s">
        <v>242</v>
      </c>
      <c r="D183" s="216" t="s">
        <v>159</v>
      </c>
      <c r="F183" s="216" t="s">
        <v>160</v>
      </c>
      <c r="G183" s="216" t="s">
        <v>161</v>
      </c>
      <c r="H183" s="216" t="s">
        <v>239</v>
      </c>
      <c r="I183" s="216" t="s">
        <v>181</v>
      </c>
      <c r="J183" s="216" t="s">
        <v>239</v>
      </c>
      <c r="K183" s="216">
        <v>900</v>
      </c>
    </row>
    <row r="184" spans="1:14" ht="23" x14ac:dyDescent="0.35">
      <c r="A184" s="216" t="s">
        <v>2825</v>
      </c>
      <c r="B184" s="216" t="s">
        <v>221</v>
      </c>
      <c r="C184" s="216" t="s">
        <v>238</v>
      </c>
      <c r="D184" s="216" t="s">
        <v>159</v>
      </c>
      <c r="F184" s="216" t="s">
        <v>160</v>
      </c>
      <c r="G184" s="216" t="s">
        <v>161</v>
      </c>
      <c r="H184" s="216" t="s">
        <v>239</v>
      </c>
      <c r="I184" s="216" t="s">
        <v>189</v>
      </c>
      <c r="J184" s="216" t="s">
        <v>239</v>
      </c>
      <c r="K184" s="216">
        <v>900</v>
      </c>
    </row>
    <row r="185" spans="1:14" ht="23" x14ac:dyDescent="0.35">
      <c r="A185" s="216" t="s">
        <v>2825</v>
      </c>
      <c r="B185" s="216" t="s">
        <v>221</v>
      </c>
      <c r="C185" s="216" t="s">
        <v>269</v>
      </c>
      <c r="D185" s="216" t="s">
        <v>159</v>
      </c>
      <c r="F185" s="216" t="s">
        <v>30</v>
      </c>
      <c r="G185" s="216" t="s">
        <v>233</v>
      </c>
      <c r="H185" s="216" t="s">
        <v>654</v>
      </c>
      <c r="I185" s="216" t="s">
        <v>164</v>
      </c>
      <c r="J185" s="216" t="s">
        <v>654</v>
      </c>
      <c r="K185" s="216">
        <v>700</v>
      </c>
    </row>
    <row r="186" spans="1:14" ht="23" x14ac:dyDescent="0.35">
      <c r="A186" s="216" t="s">
        <v>2825</v>
      </c>
      <c r="B186" s="216" t="s">
        <v>221</v>
      </c>
      <c r="C186" s="216" t="s">
        <v>271</v>
      </c>
      <c r="D186" s="216" t="s">
        <v>159</v>
      </c>
      <c r="F186" s="216" t="s">
        <v>30</v>
      </c>
      <c r="G186" s="216" t="s">
        <v>203</v>
      </c>
      <c r="H186" s="216" t="s">
        <v>653</v>
      </c>
      <c r="I186" s="216" t="s">
        <v>166</v>
      </c>
      <c r="J186" s="216" t="s">
        <v>653</v>
      </c>
      <c r="K186" s="216">
        <v>700</v>
      </c>
      <c r="M186" s="216" t="s">
        <v>202</v>
      </c>
    </row>
    <row r="187" spans="1:14" ht="23" x14ac:dyDescent="0.35">
      <c r="A187" s="216" t="s">
        <v>2825</v>
      </c>
      <c r="B187" s="216" t="s">
        <v>221</v>
      </c>
      <c r="C187" s="216" t="s">
        <v>243</v>
      </c>
      <c r="D187" s="216" t="s">
        <v>159</v>
      </c>
      <c r="F187" s="216" t="s">
        <v>160</v>
      </c>
      <c r="G187" s="216" t="s">
        <v>161</v>
      </c>
      <c r="H187" s="216" t="s">
        <v>163</v>
      </c>
      <c r="I187" s="216" t="s">
        <v>244</v>
      </c>
      <c r="J187" s="216" t="s">
        <v>163</v>
      </c>
      <c r="K187" s="216">
        <v>900</v>
      </c>
      <c r="M187" s="216" t="s">
        <v>202</v>
      </c>
    </row>
    <row r="188" spans="1:14" ht="23" x14ac:dyDescent="0.35">
      <c r="A188" s="216" t="s">
        <v>2825</v>
      </c>
      <c r="B188" s="216" t="s">
        <v>221</v>
      </c>
      <c r="C188" s="216" t="s">
        <v>236</v>
      </c>
      <c r="D188" s="216" t="s">
        <v>159</v>
      </c>
      <c r="F188" s="216" t="s">
        <v>160</v>
      </c>
      <c r="G188" s="216" t="s">
        <v>161</v>
      </c>
      <c r="H188" s="216" t="s">
        <v>163</v>
      </c>
      <c r="I188" s="216" t="s">
        <v>237</v>
      </c>
      <c r="J188" s="216" t="s">
        <v>163</v>
      </c>
      <c r="K188" s="216">
        <v>900</v>
      </c>
      <c r="M188" s="216" t="s">
        <v>202</v>
      </c>
    </row>
    <row r="189" spans="1:14" ht="23" x14ac:dyDescent="0.35">
      <c r="A189" s="216" t="s">
        <v>2825</v>
      </c>
      <c r="B189" s="216" t="s">
        <v>221</v>
      </c>
      <c r="C189" s="216" t="s">
        <v>240</v>
      </c>
      <c r="D189" s="216" t="s">
        <v>159</v>
      </c>
      <c r="F189" s="216" t="s">
        <v>160</v>
      </c>
      <c r="G189" s="216" t="s">
        <v>161</v>
      </c>
      <c r="H189" s="216" t="s">
        <v>163</v>
      </c>
      <c r="I189" s="216" t="s">
        <v>241</v>
      </c>
      <c r="J189" s="216" t="s">
        <v>163</v>
      </c>
      <c r="K189" s="216">
        <v>900</v>
      </c>
      <c r="M189" s="216" t="s">
        <v>198</v>
      </c>
    </row>
    <row r="190" spans="1:14" ht="23" x14ac:dyDescent="0.35">
      <c r="A190" s="216" t="s">
        <v>2825</v>
      </c>
      <c r="B190" s="216" t="s">
        <v>221</v>
      </c>
      <c r="C190" s="216" t="s">
        <v>234</v>
      </c>
      <c r="D190" s="216" t="s">
        <v>159</v>
      </c>
      <c r="F190" s="216" t="s">
        <v>160</v>
      </c>
      <c r="G190" s="216" t="s">
        <v>161</v>
      </c>
      <c r="H190" s="216" t="s">
        <v>163</v>
      </c>
      <c r="I190" s="216" t="s">
        <v>171</v>
      </c>
      <c r="J190" s="216" t="s">
        <v>163</v>
      </c>
      <c r="K190" s="216">
        <v>700</v>
      </c>
      <c r="M190" s="216" t="s">
        <v>198</v>
      </c>
    </row>
    <row r="191" spans="1:14" ht="23" x14ac:dyDescent="0.35">
      <c r="A191" s="216" t="s">
        <v>2825</v>
      </c>
      <c r="B191" s="216" t="s">
        <v>221</v>
      </c>
      <c r="C191" s="216" t="s">
        <v>247</v>
      </c>
      <c r="D191" s="216" t="s">
        <v>159</v>
      </c>
      <c r="F191" s="216" t="s">
        <v>30</v>
      </c>
      <c r="G191" s="216" t="s">
        <v>249</v>
      </c>
      <c r="H191" s="216" t="s">
        <v>655</v>
      </c>
      <c r="I191" s="216" t="s">
        <v>250</v>
      </c>
      <c r="J191" s="216" t="s">
        <v>655</v>
      </c>
      <c r="K191" s="216">
        <v>900</v>
      </c>
    </row>
    <row r="192" spans="1:14" ht="23" x14ac:dyDescent="0.35">
      <c r="A192" s="216" t="s">
        <v>2825</v>
      </c>
      <c r="B192" s="216" t="s">
        <v>221</v>
      </c>
      <c r="C192" s="216" t="s">
        <v>248</v>
      </c>
      <c r="D192" s="216" t="s">
        <v>159</v>
      </c>
      <c r="F192" s="216" t="s">
        <v>30</v>
      </c>
      <c r="G192" s="216" t="s">
        <v>251</v>
      </c>
      <c r="H192" s="216" t="s">
        <v>655</v>
      </c>
      <c r="I192" s="216" t="s">
        <v>220</v>
      </c>
      <c r="J192" s="216" t="s">
        <v>655</v>
      </c>
      <c r="K192" s="216">
        <v>900</v>
      </c>
    </row>
    <row r="193" spans="1:18" ht="23" x14ac:dyDescent="0.35">
      <c r="A193" s="216" t="s">
        <v>2825</v>
      </c>
      <c r="B193" s="216" t="s">
        <v>221</v>
      </c>
      <c r="C193" s="216" t="s">
        <v>270</v>
      </c>
      <c r="D193" s="216" t="s">
        <v>159</v>
      </c>
      <c r="F193" s="216" t="s">
        <v>30</v>
      </c>
      <c r="G193" s="216" t="s">
        <v>168</v>
      </c>
      <c r="H193" s="216" t="s">
        <v>654</v>
      </c>
      <c r="I193" s="216" t="s">
        <v>223</v>
      </c>
      <c r="J193" s="216" t="s">
        <v>654</v>
      </c>
      <c r="K193" s="216">
        <v>700</v>
      </c>
      <c r="M193" s="216" t="s">
        <v>182</v>
      </c>
    </row>
    <row r="194" spans="1:18" ht="23" x14ac:dyDescent="0.35">
      <c r="A194" s="216" t="s">
        <v>2825</v>
      </c>
      <c r="B194" s="216" t="s">
        <v>221</v>
      </c>
      <c r="C194" s="216" t="s">
        <v>245</v>
      </c>
      <c r="D194" s="216" t="s">
        <v>159</v>
      </c>
      <c r="F194" s="216" t="s">
        <v>30</v>
      </c>
      <c r="G194" s="216" t="s">
        <v>164</v>
      </c>
      <c r="H194" s="216" t="s">
        <v>654</v>
      </c>
      <c r="I194" s="216" t="s">
        <v>246</v>
      </c>
      <c r="J194" s="216" t="s">
        <v>654</v>
      </c>
      <c r="K194" s="216">
        <v>700</v>
      </c>
      <c r="M194" s="216" t="s">
        <v>182</v>
      </c>
    </row>
    <row r="195" spans="1:18" ht="23" x14ac:dyDescent="0.35">
      <c r="A195" s="216" t="s">
        <v>2825</v>
      </c>
      <c r="B195" s="216" t="s">
        <v>221</v>
      </c>
      <c r="C195" s="216" t="s">
        <v>235</v>
      </c>
      <c r="D195" s="216" t="s">
        <v>159</v>
      </c>
      <c r="F195" s="216" t="s">
        <v>160</v>
      </c>
      <c r="G195" s="216" t="s">
        <v>161</v>
      </c>
      <c r="H195" s="216" t="s">
        <v>163</v>
      </c>
      <c r="I195" s="216" t="s">
        <v>177</v>
      </c>
      <c r="J195" s="216" t="s">
        <v>163</v>
      </c>
      <c r="K195" s="216">
        <v>900</v>
      </c>
      <c r="M195" s="216" t="s">
        <v>178</v>
      </c>
      <c r="N195" s="230">
        <v>1</v>
      </c>
    </row>
    <row r="196" spans="1:18" ht="23" x14ac:dyDescent="0.35">
      <c r="A196" s="216" t="s">
        <v>2825</v>
      </c>
      <c r="B196" s="216" t="s">
        <v>221</v>
      </c>
      <c r="C196" s="216" t="s">
        <v>1732</v>
      </c>
      <c r="D196" s="216" t="s">
        <v>159</v>
      </c>
      <c r="F196" s="216" t="s">
        <v>160</v>
      </c>
      <c r="G196" s="216" t="s">
        <v>161</v>
      </c>
      <c r="H196" s="216" t="s">
        <v>163</v>
      </c>
      <c r="I196" s="216" t="s">
        <v>200</v>
      </c>
      <c r="J196" s="216" t="s">
        <v>163</v>
      </c>
      <c r="K196" s="216">
        <v>900</v>
      </c>
      <c r="M196" s="216" t="s">
        <v>178</v>
      </c>
      <c r="N196" s="230">
        <v>1</v>
      </c>
    </row>
    <row r="197" spans="1:18" ht="23" x14ac:dyDescent="0.35">
      <c r="A197" s="216" t="s">
        <v>2057</v>
      </c>
      <c r="B197" s="216" t="s">
        <v>221</v>
      </c>
      <c r="C197" s="216" t="s">
        <v>620</v>
      </c>
      <c r="D197" s="216" t="s">
        <v>159</v>
      </c>
      <c r="F197" s="216" t="s">
        <v>619</v>
      </c>
      <c r="G197" s="216" t="s">
        <v>164</v>
      </c>
      <c r="K197" s="216">
        <v>200</v>
      </c>
      <c r="L197" s="216" t="s">
        <v>621</v>
      </c>
      <c r="M197" s="216" t="s">
        <v>198</v>
      </c>
      <c r="N197" s="263"/>
      <c r="O197" s="263">
        <v>1</v>
      </c>
      <c r="P197" s="263"/>
    </row>
    <row r="198" spans="1:18" ht="23" x14ac:dyDescent="0.35">
      <c r="A198" s="216" t="s">
        <v>2057</v>
      </c>
      <c r="B198" s="216" t="s">
        <v>221</v>
      </c>
      <c r="C198" s="216" t="s">
        <v>620</v>
      </c>
      <c r="D198" s="216" t="s">
        <v>159</v>
      </c>
      <c r="F198" s="216" t="s">
        <v>619</v>
      </c>
      <c r="G198" s="216" t="s">
        <v>217</v>
      </c>
      <c r="K198" s="216">
        <v>200</v>
      </c>
      <c r="L198" s="216" t="s">
        <v>621</v>
      </c>
      <c r="M198" s="216" t="s">
        <v>198</v>
      </c>
      <c r="N198" s="263"/>
      <c r="O198" s="263">
        <v>1</v>
      </c>
      <c r="P198" s="263"/>
    </row>
    <row r="199" spans="1:18" ht="23" x14ac:dyDescent="0.35">
      <c r="A199" s="216" t="s">
        <v>2057</v>
      </c>
      <c r="B199" s="216" t="s">
        <v>221</v>
      </c>
      <c r="C199" s="216" t="s">
        <v>624</v>
      </c>
      <c r="D199" s="216" t="s">
        <v>159</v>
      </c>
      <c r="E199" s="216" t="s">
        <v>159</v>
      </c>
      <c r="F199" s="216" t="s">
        <v>619</v>
      </c>
      <c r="G199" s="216" t="s">
        <v>168</v>
      </c>
      <c r="K199" s="216">
        <v>200</v>
      </c>
      <c r="L199" s="216" t="s">
        <v>608</v>
      </c>
      <c r="M199" s="216" t="s">
        <v>178</v>
      </c>
      <c r="N199" s="263">
        <v>1</v>
      </c>
      <c r="O199" s="263"/>
      <c r="P199" s="263"/>
    </row>
    <row r="200" spans="1:18" ht="23" x14ac:dyDescent="0.35">
      <c r="A200" s="216" t="s">
        <v>2057</v>
      </c>
      <c r="B200" s="216" t="s">
        <v>221</v>
      </c>
      <c r="C200" s="216" t="s">
        <v>622</v>
      </c>
      <c r="D200" s="216" t="s">
        <v>159</v>
      </c>
      <c r="E200" s="216" t="s">
        <v>159</v>
      </c>
      <c r="F200" s="216" t="s">
        <v>619</v>
      </c>
      <c r="G200" s="216" t="s">
        <v>162</v>
      </c>
      <c r="K200" s="216">
        <v>200</v>
      </c>
      <c r="L200" s="216" t="s">
        <v>608</v>
      </c>
      <c r="M200" s="216" t="s">
        <v>178</v>
      </c>
      <c r="N200" s="263">
        <v>1</v>
      </c>
      <c r="O200" s="263"/>
      <c r="P200" s="263"/>
    </row>
    <row r="201" spans="1:18" ht="23" x14ac:dyDescent="0.35">
      <c r="A201" s="216" t="s">
        <v>2057</v>
      </c>
      <c r="B201" s="216" t="s">
        <v>221</v>
      </c>
      <c r="C201" s="216" t="s">
        <v>623</v>
      </c>
      <c r="D201" s="216" t="s">
        <v>159</v>
      </c>
      <c r="E201" s="216" t="s">
        <v>159</v>
      </c>
      <c r="F201" s="216" t="s">
        <v>619</v>
      </c>
      <c r="G201" s="216" t="s">
        <v>170</v>
      </c>
      <c r="K201" s="216">
        <v>200</v>
      </c>
      <c r="L201" s="216" t="s">
        <v>608</v>
      </c>
      <c r="M201" s="216" t="s">
        <v>178</v>
      </c>
      <c r="N201" s="263">
        <v>1</v>
      </c>
      <c r="O201" s="263"/>
      <c r="P201" s="263"/>
    </row>
    <row r="202" spans="1:18" ht="23" x14ac:dyDescent="0.35">
      <c r="A202" s="216" t="s">
        <v>2058</v>
      </c>
      <c r="B202" s="216" t="s">
        <v>221</v>
      </c>
      <c r="C202" s="216" t="s">
        <v>681</v>
      </c>
      <c r="D202" s="216" t="s">
        <v>159</v>
      </c>
      <c r="E202" s="216" t="s">
        <v>663</v>
      </c>
      <c r="F202" s="216" t="s">
        <v>664</v>
      </c>
      <c r="G202" s="216" t="s">
        <v>668</v>
      </c>
      <c r="H202" s="216" t="s">
        <v>666</v>
      </c>
      <c r="K202" s="216" t="s">
        <v>669</v>
      </c>
      <c r="N202" s="263"/>
      <c r="O202" s="263"/>
      <c r="P202" s="263"/>
      <c r="Q202" s="216" t="s">
        <v>2517</v>
      </c>
      <c r="R202" s="216" t="s">
        <v>2518</v>
      </c>
    </row>
    <row r="203" spans="1:18" ht="23" x14ac:dyDescent="0.35">
      <c r="A203" s="216" t="s">
        <v>2058</v>
      </c>
      <c r="B203" s="216" t="s">
        <v>221</v>
      </c>
      <c r="C203" s="216" t="s">
        <v>681</v>
      </c>
      <c r="D203" s="216" t="s">
        <v>159</v>
      </c>
      <c r="E203" s="216" t="s">
        <v>663</v>
      </c>
      <c r="F203" s="216" t="s">
        <v>664</v>
      </c>
      <c r="G203" s="216" t="s">
        <v>668</v>
      </c>
      <c r="H203" s="216" t="s">
        <v>666</v>
      </c>
      <c r="K203" s="216" t="s">
        <v>669</v>
      </c>
      <c r="N203" s="263"/>
      <c r="O203" s="263"/>
      <c r="P203" s="263"/>
      <c r="Q203" s="216" t="s">
        <v>2517</v>
      </c>
      <c r="R203" s="216" t="s">
        <v>2518</v>
      </c>
    </row>
    <row r="204" spans="1:18" ht="23" x14ac:dyDescent="0.35">
      <c r="A204" s="216" t="s">
        <v>2058</v>
      </c>
      <c r="B204" s="216" t="s">
        <v>221</v>
      </c>
      <c r="C204" s="216" t="s">
        <v>681</v>
      </c>
      <c r="D204" s="216" t="s">
        <v>159</v>
      </c>
      <c r="E204" s="216" t="s">
        <v>663</v>
      </c>
      <c r="F204" s="216" t="s">
        <v>664</v>
      </c>
      <c r="G204" s="216" t="s">
        <v>668</v>
      </c>
      <c r="H204" s="216" t="s">
        <v>666</v>
      </c>
      <c r="K204" s="216" t="s">
        <v>669</v>
      </c>
      <c r="N204" s="263"/>
      <c r="O204" s="263"/>
      <c r="P204" s="263"/>
      <c r="Q204" s="216" t="s">
        <v>2517</v>
      </c>
      <c r="R204" s="216" t="s">
        <v>2518</v>
      </c>
    </row>
    <row r="205" spans="1:18" ht="23" x14ac:dyDescent="0.35">
      <c r="A205" s="216" t="s">
        <v>2058</v>
      </c>
      <c r="B205" s="216" t="s">
        <v>221</v>
      </c>
      <c r="C205" s="216" t="s">
        <v>681</v>
      </c>
      <c r="D205" s="216" t="s">
        <v>159</v>
      </c>
      <c r="E205" s="216" t="s">
        <v>663</v>
      </c>
      <c r="F205" s="216" t="s">
        <v>664</v>
      </c>
      <c r="G205" s="216" t="s">
        <v>668</v>
      </c>
      <c r="H205" s="216" t="s">
        <v>666</v>
      </c>
      <c r="K205" s="216" t="s">
        <v>669</v>
      </c>
      <c r="N205" s="263"/>
      <c r="O205" s="263"/>
      <c r="P205" s="263"/>
      <c r="Q205" s="216" t="s">
        <v>2517</v>
      </c>
      <c r="R205" s="216" t="s">
        <v>2518</v>
      </c>
    </row>
    <row r="206" spans="1:18" ht="23" x14ac:dyDescent="0.35">
      <c r="A206" s="216" t="s">
        <v>2058</v>
      </c>
      <c r="B206" s="216" t="s">
        <v>221</v>
      </c>
      <c r="C206" s="216" t="s">
        <v>681</v>
      </c>
      <c r="D206" s="216" t="s">
        <v>159</v>
      </c>
      <c r="E206" s="216" t="s">
        <v>663</v>
      </c>
      <c r="F206" s="216" t="s">
        <v>664</v>
      </c>
      <c r="G206" s="216" t="s">
        <v>668</v>
      </c>
      <c r="H206" s="216" t="s">
        <v>666</v>
      </c>
      <c r="K206" s="216" t="s">
        <v>669</v>
      </c>
      <c r="N206" s="263"/>
      <c r="O206" s="263"/>
      <c r="P206" s="263"/>
      <c r="Q206" s="216" t="s">
        <v>2517</v>
      </c>
      <c r="R206" s="216" t="s">
        <v>2518</v>
      </c>
    </row>
    <row r="207" spans="1:18" ht="23" x14ac:dyDescent="0.35">
      <c r="A207" s="216" t="s">
        <v>2056</v>
      </c>
      <c r="B207" s="216" t="s">
        <v>221</v>
      </c>
      <c r="C207" s="216" t="s">
        <v>852</v>
      </c>
      <c r="D207" s="216" t="s">
        <v>159</v>
      </c>
      <c r="E207" s="216" t="s">
        <v>159</v>
      </c>
      <c r="F207" s="216" t="s">
        <v>30</v>
      </c>
      <c r="G207" s="216" t="s">
        <v>223</v>
      </c>
      <c r="H207" s="216" t="s">
        <v>853</v>
      </c>
      <c r="I207" s="216" t="s">
        <v>841</v>
      </c>
      <c r="J207" s="216" t="s">
        <v>853</v>
      </c>
      <c r="K207" s="216">
        <v>1000</v>
      </c>
      <c r="M207" s="216" t="s">
        <v>178</v>
      </c>
      <c r="N207" s="263">
        <v>3</v>
      </c>
      <c r="O207" s="263"/>
      <c r="P207" s="263"/>
    </row>
    <row r="208" spans="1:18" ht="23" x14ac:dyDescent="0.35">
      <c r="A208" s="216" t="s">
        <v>2056</v>
      </c>
      <c r="B208" s="216" t="s">
        <v>221</v>
      </c>
      <c r="C208" s="216" t="s">
        <v>856</v>
      </c>
      <c r="D208" s="216" t="s">
        <v>159</v>
      </c>
      <c r="F208" s="216" t="s">
        <v>619</v>
      </c>
      <c r="G208" s="216" t="s">
        <v>855</v>
      </c>
      <c r="K208" s="216">
        <v>900</v>
      </c>
      <c r="M208" s="216" t="s">
        <v>198</v>
      </c>
      <c r="N208" s="263"/>
      <c r="O208" s="263">
        <v>2</v>
      </c>
      <c r="P208" s="263"/>
    </row>
    <row r="209" spans="1:18" ht="23" x14ac:dyDescent="0.35">
      <c r="A209" s="216" t="s">
        <v>2056</v>
      </c>
      <c r="B209" s="216" t="s">
        <v>221</v>
      </c>
      <c r="C209" s="216" t="s">
        <v>854</v>
      </c>
      <c r="D209" s="216" t="s">
        <v>159</v>
      </c>
      <c r="F209" s="216" t="s">
        <v>160</v>
      </c>
      <c r="G209" s="216" t="s">
        <v>168</v>
      </c>
      <c r="H209" s="216" t="s">
        <v>231</v>
      </c>
      <c r="I209" s="216" t="s">
        <v>855</v>
      </c>
      <c r="J209" s="216" t="s">
        <v>231</v>
      </c>
      <c r="K209" s="216">
        <v>900</v>
      </c>
      <c r="N209" s="263"/>
      <c r="O209" s="263"/>
      <c r="P209" s="263"/>
    </row>
    <row r="210" spans="1:18" ht="23" x14ac:dyDescent="0.35">
      <c r="A210" s="216" t="s">
        <v>2056</v>
      </c>
      <c r="B210" s="216" t="s">
        <v>221</v>
      </c>
      <c r="C210" s="216" t="s">
        <v>857</v>
      </c>
      <c r="D210" s="216" t="s">
        <v>159</v>
      </c>
      <c r="F210" s="216" t="s">
        <v>619</v>
      </c>
      <c r="G210" s="216" t="s">
        <v>831</v>
      </c>
      <c r="K210" s="216">
        <v>600</v>
      </c>
      <c r="M210" s="216" t="s">
        <v>182</v>
      </c>
      <c r="N210" s="263"/>
      <c r="O210" s="263"/>
      <c r="P210" s="263"/>
    </row>
    <row r="211" spans="1:18" ht="23" x14ac:dyDescent="0.35">
      <c r="A211" s="216" t="s">
        <v>2056</v>
      </c>
      <c r="B211" s="216" t="s">
        <v>221</v>
      </c>
      <c r="C211" s="216" t="s">
        <v>858</v>
      </c>
      <c r="D211" s="216" t="s">
        <v>159</v>
      </c>
      <c r="F211" s="216" t="s">
        <v>160</v>
      </c>
      <c r="G211" s="216" t="s">
        <v>161</v>
      </c>
      <c r="H211" s="216" t="s">
        <v>258</v>
      </c>
      <c r="I211" s="216" t="s">
        <v>841</v>
      </c>
      <c r="J211" s="216" t="s">
        <v>258</v>
      </c>
      <c r="K211" s="216">
        <v>1000</v>
      </c>
      <c r="M211" s="216" t="s">
        <v>178</v>
      </c>
      <c r="N211" s="263"/>
      <c r="O211" s="263"/>
      <c r="P211" s="263"/>
      <c r="Q211" s="216" t="s">
        <v>843</v>
      </c>
      <c r="R211" s="216" t="s">
        <v>2392</v>
      </c>
    </row>
    <row r="212" spans="1:18" ht="23" x14ac:dyDescent="0.35">
      <c r="A212" s="216" t="s">
        <v>2055</v>
      </c>
      <c r="B212" s="216" t="s">
        <v>221</v>
      </c>
      <c r="C212" s="216" t="s">
        <v>1695</v>
      </c>
      <c r="D212" s="216" t="s">
        <v>159</v>
      </c>
      <c r="E212" s="216" t="s">
        <v>159</v>
      </c>
      <c r="F212" s="216" t="s">
        <v>30</v>
      </c>
      <c r="G212" s="216" t="s">
        <v>180</v>
      </c>
      <c r="H212" s="216" t="s">
        <v>652</v>
      </c>
      <c r="I212" s="216" t="s">
        <v>1683</v>
      </c>
      <c r="J212" s="216" t="s">
        <v>652</v>
      </c>
      <c r="K212" s="216">
        <v>1500</v>
      </c>
      <c r="M212" s="216" t="s">
        <v>178</v>
      </c>
      <c r="N212" s="263">
        <v>2</v>
      </c>
      <c r="O212" s="263"/>
      <c r="P212" s="263"/>
    </row>
    <row r="213" spans="1:18" ht="23" x14ac:dyDescent="0.35">
      <c r="A213" s="216" t="s">
        <v>2055</v>
      </c>
      <c r="B213" s="216" t="s">
        <v>221</v>
      </c>
      <c r="C213" s="216" t="s">
        <v>1696</v>
      </c>
      <c r="D213" s="216" t="s">
        <v>159</v>
      </c>
      <c r="E213" s="216" t="s">
        <v>159</v>
      </c>
      <c r="F213" s="216" t="s">
        <v>30</v>
      </c>
      <c r="G213" s="216" t="s">
        <v>161</v>
      </c>
      <c r="H213" s="216" t="s">
        <v>652</v>
      </c>
      <c r="I213" s="216" t="s">
        <v>1682</v>
      </c>
      <c r="J213" s="216" t="s">
        <v>652</v>
      </c>
      <c r="K213" s="216">
        <v>1500</v>
      </c>
      <c r="M213" s="216" t="s">
        <v>178</v>
      </c>
      <c r="N213" s="263">
        <v>2</v>
      </c>
      <c r="O213" s="263"/>
      <c r="P213" s="263"/>
    </row>
    <row r="214" spans="1:18" ht="23" x14ac:dyDescent="0.35">
      <c r="A214" s="216" t="s">
        <v>2055</v>
      </c>
      <c r="B214" s="216" t="s">
        <v>221</v>
      </c>
      <c r="C214" s="216" t="s">
        <v>1697</v>
      </c>
      <c r="D214" s="216" t="s">
        <v>159</v>
      </c>
      <c r="F214" s="216" t="s">
        <v>30</v>
      </c>
      <c r="G214" s="216" t="s">
        <v>168</v>
      </c>
      <c r="H214" s="216" t="s">
        <v>654</v>
      </c>
      <c r="I214" s="216" t="s">
        <v>1698</v>
      </c>
      <c r="J214" s="216" t="s">
        <v>654</v>
      </c>
      <c r="K214" s="216">
        <v>1500</v>
      </c>
      <c r="M214" s="216" t="s">
        <v>1699</v>
      </c>
      <c r="N214" s="263"/>
      <c r="O214" s="263">
        <v>2</v>
      </c>
      <c r="P214" s="263"/>
    </row>
    <row r="215" spans="1:18" ht="23" x14ac:dyDescent="0.35">
      <c r="A215" s="216" t="s">
        <v>2055</v>
      </c>
      <c r="B215" s="216" t="s">
        <v>221</v>
      </c>
      <c r="C215" s="216" t="s">
        <v>1700</v>
      </c>
      <c r="D215" s="216" t="s">
        <v>159</v>
      </c>
      <c r="F215" s="216" t="s">
        <v>30</v>
      </c>
      <c r="G215" s="216" t="s">
        <v>168</v>
      </c>
      <c r="H215" s="216" t="s">
        <v>654</v>
      </c>
      <c r="I215" s="216" t="s">
        <v>1656</v>
      </c>
      <c r="J215" s="216" t="s">
        <v>654</v>
      </c>
      <c r="K215" s="216">
        <v>1500</v>
      </c>
      <c r="M215" s="216" t="s">
        <v>1699</v>
      </c>
      <c r="N215" s="263"/>
      <c r="O215" s="263">
        <v>2</v>
      </c>
      <c r="P215" s="263"/>
    </row>
    <row r="216" spans="1:18" ht="23" x14ac:dyDescent="0.35">
      <c r="A216" s="216" t="s">
        <v>2055</v>
      </c>
      <c r="B216" s="216" t="s">
        <v>221</v>
      </c>
      <c r="C216" s="216" t="s">
        <v>1703</v>
      </c>
      <c r="D216" s="216" t="s">
        <v>159</v>
      </c>
      <c r="F216" s="216" t="s">
        <v>1702</v>
      </c>
      <c r="G216" s="216" t="s">
        <v>249</v>
      </c>
      <c r="H216" s="216" t="s">
        <v>1701</v>
      </c>
      <c r="I216" s="216" t="s">
        <v>1598</v>
      </c>
      <c r="J216" s="216" t="s">
        <v>1701</v>
      </c>
      <c r="K216" s="216">
        <v>1500</v>
      </c>
      <c r="N216" s="263"/>
      <c r="O216" s="263"/>
      <c r="P216" s="263">
        <v>2</v>
      </c>
    </row>
    <row r="217" spans="1:18" ht="23" x14ac:dyDescent="0.35">
      <c r="A217" s="216" t="s">
        <v>2652</v>
      </c>
      <c r="B217" s="216" t="s">
        <v>879</v>
      </c>
      <c r="C217" s="216" t="s">
        <v>2900</v>
      </c>
      <c r="D217" s="216" t="s">
        <v>183</v>
      </c>
      <c r="F217" s="216" t="s">
        <v>1671</v>
      </c>
      <c r="G217" s="216" t="s">
        <v>873</v>
      </c>
      <c r="H217" s="216" t="s">
        <v>2904</v>
      </c>
      <c r="I217" s="216" t="s">
        <v>1595</v>
      </c>
      <c r="J217" s="216" t="s">
        <v>840</v>
      </c>
      <c r="K217" s="216">
        <v>2800</v>
      </c>
      <c r="M217" s="216" t="s">
        <v>850</v>
      </c>
      <c r="N217" s="263"/>
      <c r="O217" s="263"/>
      <c r="P217" s="263"/>
      <c r="Q217" s="216" t="s">
        <v>1652</v>
      </c>
      <c r="R217" s="216" t="s">
        <v>2905</v>
      </c>
    </row>
    <row r="218" spans="1:18" ht="23" x14ac:dyDescent="0.35">
      <c r="A218" s="216" t="s">
        <v>2652</v>
      </c>
      <c r="B218" s="216" t="s">
        <v>879</v>
      </c>
      <c r="C218" s="216" t="s">
        <v>2901</v>
      </c>
      <c r="D218" s="216" t="s">
        <v>159</v>
      </c>
      <c r="F218" s="216" t="s">
        <v>160</v>
      </c>
      <c r="G218" s="216" t="s">
        <v>951</v>
      </c>
      <c r="H218" s="216" t="s">
        <v>899</v>
      </c>
      <c r="I218" s="216" t="s">
        <v>1651</v>
      </c>
      <c r="J218" s="216" t="s">
        <v>899</v>
      </c>
      <c r="K218" s="216">
        <v>3200</v>
      </c>
      <c r="M218" s="216" t="s">
        <v>850</v>
      </c>
      <c r="N218" s="263"/>
      <c r="O218" s="263"/>
      <c r="P218" s="263"/>
      <c r="Q218" s="216" t="s">
        <v>286</v>
      </c>
      <c r="R218" s="216" t="s">
        <v>2390</v>
      </c>
    </row>
    <row r="219" spans="1:18" ht="23" x14ac:dyDescent="0.35">
      <c r="A219" s="216" t="s">
        <v>2652</v>
      </c>
      <c r="B219" s="216" t="s">
        <v>879</v>
      </c>
      <c r="C219" s="216" t="s">
        <v>2902</v>
      </c>
      <c r="D219" s="216" t="s">
        <v>159</v>
      </c>
      <c r="F219" s="216" t="s">
        <v>160</v>
      </c>
      <c r="G219" s="216" t="s">
        <v>951</v>
      </c>
      <c r="H219" s="216" t="s">
        <v>899</v>
      </c>
      <c r="I219" s="216" t="s">
        <v>1593</v>
      </c>
      <c r="J219" s="216" t="s">
        <v>899</v>
      </c>
      <c r="K219" s="216">
        <v>3200</v>
      </c>
      <c r="M219" s="216" t="s">
        <v>850</v>
      </c>
      <c r="N219" s="263"/>
      <c r="O219" s="263"/>
      <c r="P219" s="263"/>
      <c r="Q219" s="216" t="s">
        <v>286</v>
      </c>
      <c r="R219" s="216" t="s">
        <v>2390</v>
      </c>
    </row>
    <row r="220" spans="1:18" ht="23" x14ac:dyDescent="0.35">
      <c r="A220" s="216" t="s">
        <v>2652</v>
      </c>
      <c r="B220" s="216" t="s">
        <v>879</v>
      </c>
      <c r="C220" s="216" t="s">
        <v>2903</v>
      </c>
      <c r="D220" s="216" t="s">
        <v>183</v>
      </c>
      <c r="F220" s="216" t="s">
        <v>1671</v>
      </c>
      <c r="G220" s="216" t="s">
        <v>838</v>
      </c>
      <c r="H220" s="216" t="s">
        <v>2904</v>
      </c>
      <c r="I220" s="216" t="s">
        <v>1590</v>
      </c>
      <c r="J220" s="216" t="s">
        <v>840</v>
      </c>
      <c r="K220" s="216">
        <v>2800</v>
      </c>
      <c r="M220" s="216" t="s">
        <v>178</v>
      </c>
      <c r="N220" s="263"/>
      <c r="O220" s="263"/>
      <c r="P220" s="263"/>
      <c r="Q220" s="216" t="s">
        <v>1652</v>
      </c>
      <c r="R220" s="216" t="s">
        <v>2905</v>
      </c>
    </row>
    <row r="221" spans="1:18" ht="23" x14ac:dyDescent="0.35">
      <c r="A221" s="216" t="s">
        <v>2652</v>
      </c>
      <c r="B221" s="216" t="s">
        <v>879</v>
      </c>
      <c r="C221" s="216" t="s">
        <v>2906</v>
      </c>
      <c r="D221" s="216" t="s">
        <v>183</v>
      </c>
      <c r="F221" s="216" t="s">
        <v>1671</v>
      </c>
      <c r="G221" s="216" t="s">
        <v>831</v>
      </c>
      <c r="H221" s="216" t="s">
        <v>2904</v>
      </c>
      <c r="I221" s="216" t="s">
        <v>1679</v>
      </c>
      <c r="J221" s="216" t="s">
        <v>840</v>
      </c>
      <c r="K221" s="216">
        <v>2800</v>
      </c>
      <c r="M221" s="216" t="s">
        <v>198</v>
      </c>
      <c r="N221" s="263"/>
      <c r="O221" s="263"/>
      <c r="P221" s="263"/>
      <c r="Q221" s="216" t="s">
        <v>1652</v>
      </c>
      <c r="R221" s="216" t="s">
        <v>2905</v>
      </c>
    </row>
    <row r="222" spans="1:18" ht="23" x14ac:dyDescent="0.35">
      <c r="A222" s="216" t="s">
        <v>2056</v>
      </c>
      <c r="B222" s="216" t="s">
        <v>879</v>
      </c>
      <c r="C222" s="216" t="s">
        <v>898</v>
      </c>
      <c r="D222" s="216" t="s">
        <v>159</v>
      </c>
      <c r="F222" s="216" t="s">
        <v>160</v>
      </c>
      <c r="G222" s="216" t="s">
        <v>951</v>
      </c>
      <c r="H222" s="216" t="s">
        <v>899</v>
      </c>
      <c r="I222" s="216" t="s">
        <v>223</v>
      </c>
      <c r="J222" s="216" t="s">
        <v>899</v>
      </c>
      <c r="K222" s="216">
        <v>2000</v>
      </c>
      <c r="M222" s="216" t="s">
        <v>178</v>
      </c>
      <c r="N222" s="263"/>
      <c r="O222" s="263"/>
      <c r="P222" s="263"/>
      <c r="Q222" s="216" t="s">
        <v>286</v>
      </c>
      <c r="R222" s="216" t="s">
        <v>2390</v>
      </c>
    </row>
    <row r="223" spans="1:18" ht="23" x14ac:dyDescent="0.35">
      <c r="A223" s="216" t="s">
        <v>2056</v>
      </c>
      <c r="B223" s="216" t="s">
        <v>879</v>
      </c>
      <c r="C223" s="216" t="s">
        <v>890</v>
      </c>
      <c r="D223" s="216" t="s">
        <v>183</v>
      </c>
      <c r="F223" s="216" t="s">
        <v>210</v>
      </c>
      <c r="G223" s="216" t="s">
        <v>838</v>
      </c>
      <c r="H223" s="216" t="s">
        <v>661</v>
      </c>
      <c r="I223" s="216" t="s">
        <v>189</v>
      </c>
      <c r="J223" s="216" t="s">
        <v>880</v>
      </c>
      <c r="K223" s="216">
        <v>2200</v>
      </c>
      <c r="M223" s="216" t="s">
        <v>178</v>
      </c>
      <c r="N223" s="263">
        <v>3</v>
      </c>
      <c r="O223" s="263"/>
      <c r="P223" s="263"/>
    </row>
    <row r="224" spans="1:18" ht="23" x14ac:dyDescent="0.35">
      <c r="A224" s="216" t="s">
        <v>2056</v>
      </c>
      <c r="B224" s="216" t="s">
        <v>879</v>
      </c>
      <c r="C224" s="216" t="s">
        <v>906</v>
      </c>
      <c r="D224" s="216" t="s">
        <v>183</v>
      </c>
      <c r="F224" s="216" t="s">
        <v>210</v>
      </c>
      <c r="G224" s="216" t="s">
        <v>873</v>
      </c>
      <c r="H224" s="216" t="s">
        <v>840</v>
      </c>
      <c r="I224" s="216" t="s">
        <v>189</v>
      </c>
      <c r="J224" s="216" t="s">
        <v>842</v>
      </c>
      <c r="K224" s="216">
        <v>3000</v>
      </c>
      <c r="M224" s="216" t="s">
        <v>178</v>
      </c>
      <c r="N224" s="263"/>
      <c r="O224" s="263"/>
      <c r="P224" s="263"/>
      <c r="Q224" s="216" t="s">
        <v>871</v>
      </c>
      <c r="R224" s="216" t="s">
        <v>2399</v>
      </c>
    </row>
    <row r="225" spans="1:18" ht="23" x14ac:dyDescent="0.35">
      <c r="A225" s="216" t="s">
        <v>2056</v>
      </c>
      <c r="B225" s="216" t="s">
        <v>879</v>
      </c>
      <c r="C225" s="216" t="s">
        <v>887</v>
      </c>
      <c r="D225" s="216" t="s">
        <v>183</v>
      </c>
      <c r="F225" s="216" t="s">
        <v>210</v>
      </c>
      <c r="G225" s="216" t="s">
        <v>873</v>
      </c>
      <c r="H225" s="216" t="s">
        <v>661</v>
      </c>
      <c r="I225" s="216" t="s">
        <v>171</v>
      </c>
      <c r="J225" s="216" t="s">
        <v>880</v>
      </c>
      <c r="K225" s="216">
        <v>2900</v>
      </c>
      <c r="M225" s="216" t="s">
        <v>850</v>
      </c>
      <c r="N225" s="263">
        <v>3</v>
      </c>
      <c r="O225" s="263"/>
      <c r="P225" s="263">
        <v>3</v>
      </c>
    </row>
    <row r="226" spans="1:18" ht="23" x14ac:dyDescent="0.35">
      <c r="A226" s="216" t="s">
        <v>2056</v>
      </c>
      <c r="B226" s="216" t="s">
        <v>879</v>
      </c>
      <c r="C226" s="216" t="s">
        <v>900</v>
      </c>
      <c r="D226" s="216" t="s">
        <v>159</v>
      </c>
      <c r="F226" s="216" t="s">
        <v>160</v>
      </c>
      <c r="G226" s="216" t="s">
        <v>951</v>
      </c>
      <c r="H226" s="216" t="s">
        <v>899</v>
      </c>
      <c r="I226" s="216" t="s">
        <v>168</v>
      </c>
      <c r="J226" s="216" t="s">
        <v>899</v>
      </c>
      <c r="K226" s="216">
        <v>2500</v>
      </c>
      <c r="N226" s="263"/>
      <c r="O226" s="263"/>
      <c r="P226" s="263"/>
      <c r="Q226" s="216" t="s">
        <v>286</v>
      </c>
      <c r="R226" s="216" t="s">
        <v>2390</v>
      </c>
    </row>
    <row r="227" spans="1:18" ht="23" x14ac:dyDescent="0.35">
      <c r="A227" s="216" t="s">
        <v>2056</v>
      </c>
      <c r="B227" s="216" t="s">
        <v>879</v>
      </c>
      <c r="C227" s="216" t="s">
        <v>1366</v>
      </c>
      <c r="D227" s="216" t="s">
        <v>159</v>
      </c>
      <c r="F227" s="216" t="s">
        <v>160</v>
      </c>
      <c r="G227" s="216" t="s">
        <v>831</v>
      </c>
      <c r="H227" s="216" t="s">
        <v>224</v>
      </c>
      <c r="I227" s="216" t="s">
        <v>168</v>
      </c>
      <c r="J227" s="216" t="s">
        <v>224</v>
      </c>
      <c r="K227" s="216">
        <v>2100</v>
      </c>
      <c r="M227" s="216" t="s">
        <v>182</v>
      </c>
      <c r="N227" s="263"/>
      <c r="O227" s="263">
        <v>3</v>
      </c>
      <c r="P227" s="263"/>
    </row>
    <row r="228" spans="1:18" ht="23" x14ac:dyDescent="0.35">
      <c r="A228" s="216" t="s">
        <v>2056</v>
      </c>
      <c r="B228" s="216" t="s">
        <v>879</v>
      </c>
      <c r="C228" s="216" t="s">
        <v>884</v>
      </c>
      <c r="D228" s="216" t="s">
        <v>183</v>
      </c>
      <c r="F228" s="216" t="s">
        <v>210</v>
      </c>
      <c r="G228" s="216" t="s">
        <v>875</v>
      </c>
      <c r="H228" s="216" t="s">
        <v>661</v>
      </c>
      <c r="I228" s="216" t="s">
        <v>171</v>
      </c>
      <c r="J228" s="216" t="s">
        <v>880</v>
      </c>
      <c r="K228" s="216">
        <v>2800</v>
      </c>
      <c r="M228" s="216" t="s">
        <v>850</v>
      </c>
      <c r="N228" s="263"/>
      <c r="O228" s="263"/>
      <c r="P228" s="263">
        <v>3</v>
      </c>
    </row>
    <row r="229" spans="1:18" ht="23" x14ac:dyDescent="0.35">
      <c r="A229" s="216" t="s">
        <v>2056</v>
      </c>
      <c r="B229" s="216" t="s">
        <v>879</v>
      </c>
      <c r="C229" s="216" t="s">
        <v>886</v>
      </c>
      <c r="D229" s="216" t="s">
        <v>183</v>
      </c>
      <c r="F229" s="216" t="s">
        <v>210</v>
      </c>
      <c r="G229" s="216" t="s">
        <v>849</v>
      </c>
      <c r="H229" s="216" t="s">
        <v>661</v>
      </c>
      <c r="I229" s="216" t="s">
        <v>162</v>
      </c>
      <c r="J229" s="216" t="s">
        <v>880</v>
      </c>
      <c r="K229" s="216">
        <v>2800</v>
      </c>
      <c r="N229" s="263">
        <v>2</v>
      </c>
      <c r="O229" s="263">
        <v>3</v>
      </c>
      <c r="P229" s="263"/>
    </row>
    <row r="230" spans="1:18" ht="23" x14ac:dyDescent="0.35">
      <c r="A230" s="216" t="s">
        <v>2056</v>
      </c>
      <c r="B230" s="216" t="s">
        <v>879</v>
      </c>
      <c r="C230" s="216" t="s">
        <v>904</v>
      </c>
      <c r="D230" s="216" t="s">
        <v>183</v>
      </c>
      <c r="F230" s="216" t="s">
        <v>210</v>
      </c>
      <c r="G230" s="216" t="s">
        <v>951</v>
      </c>
      <c r="H230" s="216" t="s">
        <v>902</v>
      </c>
      <c r="I230" s="216" t="s">
        <v>170</v>
      </c>
      <c r="J230" s="216" t="s">
        <v>1723</v>
      </c>
      <c r="K230" s="216">
        <v>3000</v>
      </c>
      <c r="M230" s="216" t="s">
        <v>178</v>
      </c>
      <c r="N230" s="263"/>
      <c r="O230" s="263"/>
      <c r="P230" s="263"/>
      <c r="Q230" s="216" t="s">
        <v>286</v>
      </c>
      <c r="R230" s="216" t="s">
        <v>2390</v>
      </c>
    </row>
    <row r="231" spans="1:18" ht="23" x14ac:dyDescent="0.35">
      <c r="A231" s="216" t="s">
        <v>2056</v>
      </c>
      <c r="B231" s="216" t="s">
        <v>879</v>
      </c>
      <c r="C231" s="216" t="s">
        <v>885</v>
      </c>
      <c r="D231" s="216" t="s">
        <v>183</v>
      </c>
      <c r="F231" s="216" t="s">
        <v>210</v>
      </c>
      <c r="G231" s="216" t="s">
        <v>833</v>
      </c>
      <c r="H231" s="216" t="s">
        <v>661</v>
      </c>
      <c r="I231" s="216" t="s">
        <v>167</v>
      </c>
      <c r="J231" s="216" t="s">
        <v>880</v>
      </c>
      <c r="K231" s="216">
        <v>2800</v>
      </c>
      <c r="M231" s="216" t="s">
        <v>198</v>
      </c>
      <c r="N231" s="263"/>
      <c r="O231" s="263">
        <v>3</v>
      </c>
      <c r="P231" s="263"/>
    </row>
    <row r="232" spans="1:18" ht="23" x14ac:dyDescent="0.35">
      <c r="A232" s="216" t="s">
        <v>2056</v>
      </c>
      <c r="B232" s="216" t="s">
        <v>879</v>
      </c>
      <c r="C232" s="216" t="s">
        <v>908</v>
      </c>
      <c r="D232" s="216" t="s">
        <v>183</v>
      </c>
      <c r="F232" s="216" t="s">
        <v>210</v>
      </c>
      <c r="G232" s="216" t="s">
        <v>847</v>
      </c>
      <c r="H232" s="216" t="s">
        <v>660</v>
      </c>
      <c r="I232" s="216" t="s">
        <v>170</v>
      </c>
      <c r="J232" s="216" t="s">
        <v>661</v>
      </c>
      <c r="K232" s="216">
        <v>3600</v>
      </c>
      <c r="N232" s="263"/>
      <c r="O232" s="263"/>
      <c r="P232" s="263"/>
      <c r="Q232" s="216" t="s">
        <v>903</v>
      </c>
      <c r="R232" s="216" t="s">
        <v>2397</v>
      </c>
    </row>
    <row r="233" spans="1:18" ht="23" x14ac:dyDescent="0.35">
      <c r="A233" s="216" t="s">
        <v>2056</v>
      </c>
      <c r="B233" s="216" t="s">
        <v>879</v>
      </c>
      <c r="C233" s="216" t="s">
        <v>883</v>
      </c>
      <c r="D233" s="216" t="s">
        <v>183</v>
      </c>
      <c r="F233" s="216" t="s">
        <v>210</v>
      </c>
      <c r="G233" s="216" t="s">
        <v>168</v>
      </c>
      <c r="H233" s="216" t="s">
        <v>661</v>
      </c>
      <c r="I233" s="216" t="s">
        <v>205</v>
      </c>
      <c r="J233" s="216" t="s">
        <v>660</v>
      </c>
      <c r="K233" s="216">
        <v>3200</v>
      </c>
      <c r="M233" s="216" t="s">
        <v>182</v>
      </c>
      <c r="N233" s="263"/>
      <c r="O233" s="263"/>
      <c r="P233" s="263"/>
      <c r="Q233" s="216" t="s">
        <v>1900</v>
      </c>
    </row>
    <row r="234" spans="1:18" ht="23" x14ac:dyDescent="0.35">
      <c r="A234" s="216" t="s">
        <v>2056</v>
      </c>
      <c r="B234" s="216" t="s">
        <v>879</v>
      </c>
      <c r="C234" s="216" t="s">
        <v>905</v>
      </c>
      <c r="D234" s="216" t="s">
        <v>183</v>
      </c>
      <c r="F234" s="216" t="s">
        <v>210</v>
      </c>
      <c r="G234" s="216" t="s">
        <v>875</v>
      </c>
      <c r="H234" s="216" t="s">
        <v>840</v>
      </c>
      <c r="I234" s="216" t="s">
        <v>189</v>
      </c>
      <c r="J234" s="216" t="s">
        <v>842</v>
      </c>
      <c r="K234" s="216">
        <v>2800</v>
      </c>
      <c r="M234" s="216" t="s">
        <v>850</v>
      </c>
      <c r="N234" s="263"/>
      <c r="O234" s="263"/>
      <c r="P234" s="263"/>
      <c r="Q234" s="216" t="s">
        <v>871</v>
      </c>
      <c r="R234" s="216" t="s">
        <v>2399</v>
      </c>
    </row>
    <row r="235" spans="1:18" ht="23" x14ac:dyDescent="0.35">
      <c r="A235" s="216" t="s">
        <v>2056</v>
      </c>
      <c r="B235" s="216" t="s">
        <v>879</v>
      </c>
      <c r="C235" s="216" t="s">
        <v>881</v>
      </c>
      <c r="D235" s="216" t="s">
        <v>183</v>
      </c>
      <c r="F235" s="216" t="s">
        <v>210</v>
      </c>
      <c r="G235" s="216" t="s">
        <v>168</v>
      </c>
      <c r="H235" s="216" t="s">
        <v>882</v>
      </c>
      <c r="I235" s="216" t="s">
        <v>838</v>
      </c>
      <c r="J235" s="216" t="s">
        <v>842</v>
      </c>
      <c r="K235" s="216">
        <v>3000</v>
      </c>
      <c r="M235" s="216" t="s">
        <v>182</v>
      </c>
      <c r="N235" s="263"/>
      <c r="O235" s="263"/>
      <c r="P235" s="263">
        <v>3</v>
      </c>
    </row>
    <row r="236" spans="1:18" ht="23" x14ac:dyDescent="0.35">
      <c r="A236" s="216" t="s">
        <v>2056</v>
      </c>
      <c r="B236" s="216" t="s">
        <v>879</v>
      </c>
      <c r="C236" s="216" t="s">
        <v>892</v>
      </c>
      <c r="D236" s="216" t="s">
        <v>183</v>
      </c>
      <c r="F236" s="216" t="s">
        <v>210</v>
      </c>
      <c r="G236" s="216" t="s">
        <v>168</v>
      </c>
      <c r="H236" s="216" t="s">
        <v>882</v>
      </c>
      <c r="I236" s="216" t="s">
        <v>841</v>
      </c>
      <c r="J236" s="216" t="s">
        <v>842</v>
      </c>
      <c r="K236" s="216">
        <v>2300</v>
      </c>
      <c r="N236" s="263"/>
      <c r="O236" s="263"/>
      <c r="P236" s="263"/>
      <c r="Q236" s="216" t="s">
        <v>843</v>
      </c>
      <c r="R236" s="216" t="s">
        <v>2392</v>
      </c>
    </row>
    <row r="237" spans="1:18" ht="23" x14ac:dyDescent="0.35">
      <c r="A237" s="216" t="s">
        <v>2056</v>
      </c>
      <c r="B237" s="216" t="s">
        <v>879</v>
      </c>
      <c r="C237" s="216" t="s">
        <v>894</v>
      </c>
      <c r="D237" s="216" t="s">
        <v>183</v>
      </c>
      <c r="F237" s="216" t="s">
        <v>210</v>
      </c>
      <c r="G237" s="216" t="s">
        <v>834</v>
      </c>
      <c r="H237" s="216" t="s">
        <v>835</v>
      </c>
      <c r="I237" s="216" t="s">
        <v>838</v>
      </c>
      <c r="J237" s="216" t="s">
        <v>845</v>
      </c>
      <c r="K237" s="216">
        <v>2000</v>
      </c>
      <c r="N237" s="263"/>
      <c r="O237" s="263"/>
      <c r="P237" s="263"/>
      <c r="Q237" s="216" t="s">
        <v>835</v>
      </c>
      <c r="R237" s="216" t="s">
        <v>2398</v>
      </c>
    </row>
    <row r="238" spans="1:18" ht="23" x14ac:dyDescent="0.35">
      <c r="A238" s="216" t="s">
        <v>2056</v>
      </c>
      <c r="B238" s="216" t="s">
        <v>879</v>
      </c>
      <c r="C238" s="216" t="s">
        <v>893</v>
      </c>
      <c r="D238" s="216" t="s">
        <v>183</v>
      </c>
      <c r="F238" s="216" t="s">
        <v>210</v>
      </c>
      <c r="G238" s="216" t="s">
        <v>834</v>
      </c>
      <c r="H238" s="216" t="s">
        <v>835</v>
      </c>
      <c r="I238" s="216" t="s">
        <v>831</v>
      </c>
      <c r="J238" s="216" t="s">
        <v>845</v>
      </c>
      <c r="K238" s="216">
        <v>2000</v>
      </c>
      <c r="N238" s="263"/>
      <c r="O238" s="263"/>
      <c r="P238" s="263"/>
      <c r="Q238" s="216" t="s">
        <v>835</v>
      </c>
      <c r="R238" s="216" t="s">
        <v>2398</v>
      </c>
    </row>
    <row r="239" spans="1:18" ht="23" x14ac:dyDescent="0.35">
      <c r="A239" s="216" t="s">
        <v>2056</v>
      </c>
      <c r="B239" s="216" t="s">
        <v>879</v>
      </c>
      <c r="C239" s="216" t="s">
        <v>907</v>
      </c>
      <c r="D239" s="216" t="s">
        <v>183</v>
      </c>
      <c r="F239" s="216" t="s">
        <v>210</v>
      </c>
      <c r="G239" s="216" t="s">
        <v>833</v>
      </c>
      <c r="H239" s="216" t="s">
        <v>840</v>
      </c>
      <c r="I239" s="216" t="s">
        <v>168</v>
      </c>
      <c r="J239" s="216" t="s">
        <v>842</v>
      </c>
      <c r="K239" s="216">
        <v>3000</v>
      </c>
      <c r="M239" s="216" t="s">
        <v>182</v>
      </c>
      <c r="N239" s="263"/>
      <c r="O239" s="263"/>
      <c r="P239" s="263"/>
      <c r="Q239" s="216" t="s">
        <v>871</v>
      </c>
      <c r="R239" s="216" t="s">
        <v>2399</v>
      </c>
    </row>
    <row r="240" spans="1:18" ht="23" x14ac:dyDescent="0.35">
      <c r="A240" s="216" t="s">
        <v>2056</v>
      </c>
      <c r="B240" s="216" t="s">
        <v>879</v>
      </c>
      <c r="C240" s="216" t="s">
        <v>1724</v>
      </c>
      <c r="D240" s="216" t="s">
        <v>183</v>
      </c>
      <c r="F240" s="216" t="s">
        <v>210</v>
      </c>
      <c r="G240" s="216" t="s">
        <v>847</v>
      </c>
      <c r="H240" s="216" t="s">
        <v>661</v>
      </c>
      <c r="I240" s="216" t="s">
        <v>220</v>
      </c>
      <c r="J240" s="216" t="s">
        <v>880</v>
      </c>
      <c r="K240" s="216">
        <v>2200</v>
      </c>
      <c r="M240" s="216" t="s">
        <v>850</v>
      </c>
      <c r="N240" s="263"/>
      <c r="O240" s="263"/>
      <c r="P240" s="263">
        <v>3</v>
      </c>
    </row>
    <row r="241" spans="1:18" ht="23" x14ac:dyDescent="0.35">
      <c r="A241" s="216" t="s">
        <v>2056</v>
      </c>
      <c r="B241" s="216" t="s">
        <v>879</v>
      </c>
      <c r="C241" s="216" t="s">
        <v>891</v>
      </c>
      <c r="D241" s="216" t="s">
        <v>159</v>
      </c>
      <c r="F241" s="216" t="s">
        <v>160</v>
      </c>
      <c r="G241" s="216" t="s">
        <v>838</v>
      </c>
      <c r="H241" s="216" t="s">
        <v>224</v>
      </c>
      <c r="I241" s="216" t="s">
        <v>168</v>
      </c>
      <c r="J241" s="216" t="s">
        <v>224</v>
      </c>
      <c r="K241" s="216">
        <v>2000</v>
      </c>
      <c r="N241" s="263">
        <v>3</v>
      </c>
      <c r="O241" s="263"/>
      <c r="P241" s="263"/>
    </row>
    <row r="242" spans="1:18" ht="23" x14ac:dyDescent="0.35">
      <c r="A242" s="216" t="s">
        <v>2056</v>
      </c>
      <c r="B242" s="216" t="s">
        <v>879</v>
      </c>
      <c r="C242" s="216" t="s">
        <v>897</v>
      </c>
      <c r="D242" s="216" t="s">
        <v>183</v>
      </c>
      <c r="F242" s="216" t="s">
        <v>210</v>
      </c>
      <c r="G242" s="216" t="s">
        <v>831</v>
      </c>
      <c r="H242" s="216" t="s">
        <v>840</v>
      </c>
      <c r="I242" s="216" t="s">
        <v>220</v>
      </c>
      <c r="J242" s="216" t="s">
        <v>842</v>
      </c>
      <c r="K242" s="216">
        <v>2700</v>
      </c>
      <c r="N242" s="263"/>
      <c r="O242" s="263"/>
      <c r="P242" s="263"/>
      <c r="Q242" s="216" t="s">
        <v>895</v>
      </c>
      <c r="R242" s="216" t="s">
        <v>2965</v>
      </c>
    </row>
    <row r="243" spans="1:18" ht="23" x14ac:dyDescent="0.35">
      <c r="A243" s="216" t="s">
        <v>2056</v>
      </c>
      <c r="B243" s="216" t="s">
        <v>879</v>
      </c>
      <c r="C243" s="216" t="s">
        <v>896</v>
      </c>
      <c r="D243" s="216" t="s">
        <v>183</v>
      </c>
      <c r="F243" s="216" t="s">
        <v>210</v>
      </c>
      <c r="G243" s="216" t="s">
        <v>831</v>
      </c>
      <c r="H243" s="216" t="s">
        <v>880</v>
      </c>
      <c r="I243" s="216" t="s">
        <v>167</v>
      </c>
      <c r="J243" s="216" t="s">
        <v>661</v>
      </c>
      <c r="K243" s="216">
        <v>2600</v>
      </c>
      <c r="M243" s="216" t="s">
        <v>198</v>
      </c>
      <c r="N243" s="263"/>
      <c r="O243" s="263"/>
      <c r="P243" s="263"/>
      <c r="Q243" s="216" t="s">
        <v>895</v>
      </c>
      <c r="R243" s="216" t="s">
        <v>2965</v>
      </c>
    </row>
    <row r="244" spans="1:18" ht="23" x14ac:dyDescent="0.35">
      <c r="A244" s="216" t="s">
        <v>2056</v>
      </c>
      <c r="B244" s="216" t="s">
        <v>879</v>
      </c>
      <c r="C244" s="216" t="s">
        <v>889</v>
      </c>
      <c r="D244" s="216" t="s">
        <v>183</v>
      </c>
      <c r="F244" s="216" t="s">
        <v>210</v>
      </c>
      <c r="G244" s="216" t="s">
        <v>838</v>
      </c>
      <c r="H244" s="216" t="s">
        <v>842</v>
      </c>
      <c r="I244" s="216" t="s">
        <v>171</v>
      </c>
      <c r="J244" s="216" t="s">
        <v>840</v>
      </c>
      <c r="K244" s="216">
        <v>3500</v>
      </c>
      <c r="N244" s="263">
        <v>3</v>
      </c>
      <c r="O244" s="263"/>
      <c r="P244" s="263">
        <v>3</v>
      </c>
    </row>
    <row r="245" spans="1:18" ht="23" x14ac:dyDescent="0.35">
      <c r="A245" s="216" t="s">
        <v>2056</v>
      </c>
      <c r="B245" s="216" t="s">
        <v>879</v>
      </c>
      <c r="C245" s="216" t="s">
        <v>901</v>
      </c>
      <c r="D245" s="216" t="s">
        <v>183</v>
      </c>
      <c r="F245" s="216" t="s">
        <v>210</v>
      </c>
      <c r="G245" s="216" t="s">
        <v>951</v>
      </c>
      <c r="H245" s="216" t="s">
        <v>902</v>
      </c>
      <c r="I245" s="216" t="s">
        <v>162</v>
      </c>
      <c r="J245" s="216" t="s">
        <v>1723</v>
      </c>
      <c r="K245" s="216">
        <v>3000</v>
      </c>
      <c r="M245" s="216" t="s">
        <v>178</v>
      </c>
      <c r="N245" s="263"/>
      <c r="O245" s="263"/>
      <c r="P245" s="263"/>
      <c r="Q245" s="216" t="s">
        <v>286</v>
      </c>
      <c r="R245" s="216" t="s">
        <v>2390</v>
      </c>
    </row>
    <row r="246" spans="1:18" ht="23" x14ac:dyDescent="0.35">
      <c r="A246" s="216" t="s">
        <v>2056</v>
      </c>
      <c r="B246" s="216" t="s">
        <v>879</v>
      </c>
      <c r="C246" s="216" t="s">
        <v>888</v>
      </c>
      <c r="D246" s="216" t="s">
        <v>183</v>
      </c>
      <c r="F246" s="216" t="s">
        <v>210</v>
      </c>
      <c r="G246" s="216" t="s">
        <v>838</v>
      </c>
      <c r="H246" s="216" t="s">
        <v>842</v>
      </c>
      <c r="I246" s="216" t="s">
        <v>223</v>
      </c>
      <c r="J246" s="216" t="s">
        <v>840</v>
      </c>
      <c r="K246" s="216">
        <v>2400</v>
      </c>
      <c r="M246" s="216" t="s">
        <v>198</v>
      </c>
      <c r="N246" s="263"/>
      <c r="O246" s="263">
        <v>3</v>
      </c>
      <c r="P246" s="263">
        <v>1</v>
      </c>
    </row>
    <row r="247" spans="1:18" ht="23" x14ac:dyDescent="0.35">
      <c r="A247" s="216" t="s">
        <v>2652</v>
      </c>
      <c r="B247" s="216" t="s">
        <v>1434</v>
      </c>
      <c r="C247" s="216" t="s">
        <v>2907</v>
      </c>
      <c r="D247" s="216" t="s">
        <v>183</v>
      </c>
      <c r="F247" s="216" t="s">
        <v>210</v>
      </c>
      <c r="G247" s="216" t="s">
        <v>167</v>
      </c>
      <c r="H247" s="216" t="s">
        <v>842</v>
      </c>
      <c r="I247" s="216" t="s">
        <v>246</v>
      </c>
      <c r="J247" s="216" t="s">
        <v>882</v>
      </c>
      <c r="K247" s="216">
        <v>2800</v>
      </c>
      <c r="M247" s="216" t="s">
        <v>182</v>
      </c>
      <c r="N247" s="263"/>
      <c r="O247" s="263"/>
      <c r="P247" s="263"/>
      <c r="Q247" s="216" t="s">
        <v>286</v>
      </c>
      <c r="R247" s="216" t="s">
        <v>2390</v>
      </c>
    </row>
    <row r="248" spans="1:18" ht="23" x14ac:dyDescent="0.35">
      <c r="A248" s="216" t="s">
        <v>2652</v>
      </c>
      <c r="B248" s="216" t="s">
        <v>1434</v>
      </c>
      <c r="C248" s="216" t="s">
        <v>2908</v>
      </c>
      <c r="D248" s="216" t="s">
        <v>159</v>
      </c>
      <c r="F248" s="216" t="s">
        <v>160</v>
      </c>
      <c r="G248" s="216" t="s">
        <v>167</v>
      </c>
      <c r="H248" s="216" t="s">
        <v>899</v>
      </c>
      <c r="I248" s="216" t="s">
        <v>847</v>
      </c>
      <c r="J248" s="216" t="s">
        <v>899</v>
      </c>
      <c r="K248" s="216">
        <v>3000</v>
      </c>
      <c r="M248" s="216" t="s">
        <v>1601</v>
      </c>
      <c r="N248" s="263"/>
      <c r="O248" s="263"/>
      <c r="P248" s="263"/>
      <c r="Q248" s="216" t="s">
        <v>286</v>
      </c>
      <c r="R248" s="216" t="s">
        <v>2390</v>
      </c>
    </row>
    <row r="249" spans="1:18" ht="23" x14ac:dyDescent="0.35">
      <c r="A249" s="216" t="s">
        <v>2652</v>
      </c>
      <c r="B249" s="216" t="s">
        <v>1434</v>
      </c>
      <c r="C249" s="216" t="s">
        <v>2909</v>
      </c>
      <c r="D249" s="216" t="s">
        <v>159</v>
      </c>
      <c r="F249" s="216" t="s">
        <v>160</v>
      </c>
      <c r="G249" s="216" t="s">
        <v>167</v>
      </c>
      <c r="H249" s="216" t="s">
        <v>899</v>
      </c>
      <c r="I249" s="216" t="s">
        <v>1672</v>
      </c>
      <c r="J249" s="216" t="s">
        <v>899</v>
      </c>
      <c r="K249" s="216">
        <v>2400</v>
      </c>
      <c r="M249" s="216" t="s">
        <v>1601</v>
      </c>
      <c r="N249" s="263"/>
      <c r="O249" s="263"/>
      <c r="P249" s="263"/>
      <c r="Q249" s="216" t="s">
        <v>286</v>
      </c>
      <c r="R249" s="216" t="s">
        <v>2390</v>
      </c>
    </row>
    <row r="250" spans="1:18" ht="23" x14ac:dyDescent="0.35">
      <c r="A250" s="216" t="s">
        <v>2652</v>
      </c>
      <c r="B250" s="216" t="s">
        <v>1434</v>
      </c>
      <c r="C250" s="216" t="s">
        <v>2910</v>
      </c>
      <c r="D250" s="216" t="s">
        <v>159</v>
      </c>
      <c r="E250" s="216" t="s">
        <v>159</v>
      </c>
      <c r="F250" s="216" t="s">
        <v>30</v>
      </c>
      <c r="G250" s="216" t="s">
        <v>833</v>
      </c>
      <c r="H250" s="216" t="s">
        <v>853</v>
      </c>
      <c r="I250" s="216" t="s">
        <v>167</v>
      </c>
      <c r="J250" s="216" t="s">
        <v>1603</v>
      </c>
      <c r="K250" s="216" t="s">
        <v>1604</v>
      </c>
      <c r="M250" s="216" t="s">
        <v>178</v>
      </c>
      <c r="N250" s="263"/>
      <c r="O250" s="263"/>
      <c r="P250" s="263"/>
      <c r="Q250" s="216" t="s">
        <v>1652</v>
      </c>
      <c r="R250" s="216" t="s">
        <v>2912</v>
      </c>
    </row>
    <row r="251" spans="1:18" ht="23" x14ac:dyDescent="0.35">
      <c r="A251" s="216" t="s">
        <v>2652</v>
      </c>
      <c r="B251" s="216" t="s">
        <v>1434</v>
      </c>
      <c r="C251" s="222" t="s">
        <v>2911</v>
      </c>
      <c r="D251" s="216" t="s">
        <v>159</v>
      </c>
      <c r="E251" s="216" t="s">
        <v>159</v>
      </c>
      <c r="F251" s="216" t="s">
        <v>30</v>
      </c>
      <c r="G251" s="216" t="s">
        <v>875</v>
      </c>
      <c r="H251" s="216" t="s">
        <v>853</v>
      </c>
      <c r="I251" s="216" t="s">
        <v>167</v>
      </c>
      <c r="J251" s="216" t="s">
        <v>1603</v>
      </c>
      <c r="K251" s="216" t="s">
        <v>1604</v>
      </c>
      <c r="M251" s="216" t="s">
        <v>178</v>
      </c>
      <c r="N251" s="263"/>
      <c r="O251" s="263"/>
      <c r="P251" s="263"/>
      <c r="Q251" s="216" t="s">
        <v>1652</v>
      </c>
      <c r="R251" s="216" t="s">
        <v>2913</v>
      </c>
    </row>
    <row r="252" spans="1:18" ht="23" x14ac:dyDescent="0.35">
      <c r="A252" s="216" t="s">
        <v>2055</v>
      </c>
      <c r="B252" s="216" t="s">
        <v>1434</v>
      </c>
      <c r="C252" s="216" t="s">
        <v>1625</v>
      </c>
      <c r="D252" s="216" t="s">
        <v>183</v>
      </c>
      <c r="E252" s="216" t="s">
        <v>159</v>
      </c>
      <c r="F252" s="216" t="s">
        <v>1660</v>
      </c>
      <c r="G252" s="216" t="s">
        <v>170</v>
      </c>
      <c r="H252" s="216" t="s">
        <v>641</v>
      </c>
      <c r="I252" s="216" t="s">
        <v>167</v>
      </c>
      <c r="J252" s="216" t="s">
        <v>642</v>
      </c>
      <c r="K252" s="216">
        <v>3800</v>
      </c>
      <c r="N252" s="263"/>
      <c r="O252" s="263"/>
      <c r="P252" s="263"/>
      <c r="Q252" s="216" t="s">
        <v>1913</v>
      </c>
    </row>
    <row r="253" spans="1:18" ht="23" x14ac:dyDescent="0.35">
      <c r="A253" s="216" t="s">
        <v>2055</v>
      </c>
      <c r="B253" s="216" t="s">
        <v>1434</v>
      </c>
      <c r="C253" s="216" t="s">
        <v>1628</v>
      </c>
      <c r="D253" s="216" t="s">
        <v>183</v>
      </c>
      <c r="E253" s="216" t="s">
        <v>159</v>
      </c>
      <c r="F253" s="216" t="s">
        <v>1660</v>
      </c>
      <c r="G253" s="216" t="s">
        <v>168</v>
      </c>
      <c r="H253" s="216" t="s">
        <v>641</v>
      </c>
      <c r="I253" s="216" t="s">
        <v>167</v>
      </c>
      <c r="J253" s="216" t="s">
        <v>642</v>
      </c>
      <c r="K253" s="216">
        <v>3400</v>
      </c>
      <c r="N253" s="263"/>
      <c r="O253" s="263"/>
      <c r="P253" s="263"/>
      <c r="Q253" s="216" t="s">
        <v>1914</v>
      </c>
    </row>
    <row r="254" spans="1:18" ht="23" x14ac:dyDescent="0.35">
      <c r="A254" s="216" t="s">
        <v>2055</v>
      </c>
      <c r="B254" s="216" t="s">
        <v>1434</v>
      </c>
      <c r="C254" s="216" t="s">
        <v>1629</v>
      </c>
      <c r="D254" s="216" t="s">
        <v>183</v>
      </c>
      <c r="E254" s="216" t="s">
        <v>159</v>
      </c>
      <c r="F254" s="216" t="s">
        <v>1660</v>
      </c>
      <c r="G254" s="216" t="s">
        <v>838</v>
      </c>
      <c r="H254" s="216" t="s">
        <v>641</v>
      </c>
      <c r="I254" s="216" t="s">
        <v>167</v>
      </c>
      <c r="J254" s="216" t="s">
        <v>642</v>
      </c>
      <c r="K254" s="216">
        <v>4000</v>
      </c>
      <c r="N254" s="263"/>
      <c r="O254" s="263"/>
      <c r="P254" s="263"/>
      <c r="Q254" s="216" t="s">
        <v>1915</v>
      </c>
    </row>
    <row r="255" spans="1:18" ht="23" x14ac:dyDescent="0.35">
      <c r="A255" s="216" t="s">
        <v>2055</v>
      </c>
      <c r="B255" s="216" t="s">
        <v>1434</v>
      </c>
      <c r="C255" s="216" t="s">
        <v>1627</v>
      </c>
      <c r="D255" s="216" t="s">
        <v>183</v>
      </c>
      <c r="E255" s="216" t="s">
        <v>159</v>
      </c>
      <c r="F255" s="216" t="s">
        <v>1660</v>
      </c>
      <c r="G255" s="216" t="s">
        <v>162</v>
      </c>
      <c r="H255" s="216" t="s">
        <v>641</v>
      </c>
      <c r="I255" s="216" t="s">
        <v>167</v>
      </c>
      <c r="J255" s="216" t="s">
        <v>642</v>
      </c>
      <c r="K255" s="216">
        <v>3800</v>
      </c>
      <c r="N255" s="263"/>
      <c r="O255" s="263"/>
      <c r="P255" s="263"/>
      <c r="Q255" s="216" t="s">
        <v>1916</v>
      </c>
    </row>
    <row r="256" spans="1:18" ht="23" x14ac:dyDescent="0.35">
      <c r="A256" s="216" t="s">
        <v>2055</v>
      </c>
      <c r="B256" s="216" t="s">
        <v>1434</v>
      </c>
      <c r="C256" s="216" t="s">
        <v>1626</v>
      </c>
      <c r="D256" s="216" t="s">
        <v>183</v>
      </c>
      <c r="E256" s="216" t="s">
        <v>159</v>
      </c>
      <c r="F256" s="216" t="s">
        <v>1660</v>
      </c>
      <c r="G256" s="216" t="s">
        <v>1590</v>
      </c>
      <c r="H256" s="216" t="s">
        <v>641</v>
      </c>
      <c r="I256" s="216" t="s">
        <v>167</v>
      </c>
      <c r="J256" s="216" t="s">
        <v>642</v>
      </c>
      <c r="K256" s="216">
        <v>3400</v>
      </c>
      <c r="N256" s="263"/>
      <c r="O256" s="263"/>
      <c r="P256" s="263"/>
      <c r="Q256" s="216" t="s">
        <v>1917</v>
      </c>
    </row>
    <row r="257" spans="1:18" ht="23" x14ac:dyDescent="0.35">
      <c r="A257" s="216" t="s">
        <v>2055</v>
      </c>
      <c r="B257" s="216" t="s">
        <v>1434</v>
      </c>
      <c r="C257" s="216" t="s">
        <v>1623</v>
      </c>
      <c r="D257" s="216" t="s">
        <v>183</v>
      </c>
      <c r="F257" s="216" t="s">
        <v>210</v>
      </c>
      <c r="G257" s="216" t="s">
        <v>167</v>
      </c>
      <c r="H257" s="216" t="s">
        <v>842</v>
      </c>
      <c r="I257" s="216" t="s">
        <v>164</v>
      </c>
      <c r="J257" s="216" t="s">
        <v>882</v>
      </c>
      <c r="K257" s="216">
        <v>2800</v>
      </c>
      <c r="M257" s="216" t="s">
        <v>850</v>
      </c>
      <c r="N257" s="263"/>
      <c r="O257" s="263"/>
      <c r="P257" s="263"/>
      <c r="Q257" s="216" t="s">
        <v>286</v>
      </c>
      <c r="R257" s="216" t="s">
        <v>2390</v>
      </c>
    </row>
    <row r="258" spans="1:18" ht="23" x14ac:dyDescent="0.35">
      <c r="A258" s="216" t="s">
        <v>2055</v>
      </c>
      <c r="B258" s="216" t="s">
        <v>1434</v>
      </c>
      <c r="C258" s="216" t="s">
        <v>1624</v>
      </c>
      <c r="D258" s="216" t="s">
        <v>183</v>
      </c>
      <c r="F258" s="216" t="s">
        <v>210</v>
      </c>
      <c r="G258" s="216" t="s">
        <v>167</v>
      </c>
      <c r="H258" s="216" t="s">
        <v>842</v>
      </c>
      <c r="I258" s="216" t="s">
        <v>166</v>
      </c>
      <c r="J258" s="216" t="s">
        <v>882</v>
      </c>
      <c r="K258" s="216">
        <v>2800</v>
      </c>
      <c r="M258" s="216" t="s">
        <v>850</v>
      </c>
      <c r="N258" s="263"/>
      <c r="O258" s="263"/>
      <c r="P258" s="263"/>
      <c r="Q258" s="216" t="s">
        <v>286</v>
      </c>
      <c r="R258" s="216" t="s">
        <v>2390</v>
      </c>
    </row>
    <row r="259" spans="1:18" ht="23" x14ac:dyDescent="0.35">
      <c r="A259" s="216" t="s">
        <v>2055</v>
      </c>
      <c r="B259" s="216" t="s">
        <v>1434</v>
      </c>
      <c r="C259" s="216" t="s">
        <v>1614</v>
      </c>
      <c r="D259" s="216" t="s">
        <v>183</v>
      </c>
      <c r="F259" s="216" t="s">
        <v>210</v>
      </c>
      <c r="G259" s="216" t="s">
        <v>167</v>
      </c>
      <c r="H259" s="216" t="s">
        <v>842</v>
      </c>
      <c r="I259" s="216" t="s">
        <v>233</v>
      </c>
      <c r="J259" s="216" t="s">
        <v>882</v>
      </c>
      <c r="K259" s="216">
        <v>2800</v>
      </c>
      <c r="M259" s="216" t="s">
        <v>850</v>
      </c>
      <c r="N259" s="263"/>
      <c r="O259" s="263"/>
      <c r="P259" s="263"/>
      <c r="Q259" s="216" t="s">
        <v>286</v>
      </c>
      <c r="R259" s="216" t="s">
        <v>2390</v>
      </c>
    </row>
    <row r="260" spans="1:18" ht="23" x14ac:dyDescent="0.35">
      <c r="A260" s="216" t="s">
        <v>2055</v>
      </c>
      <c r="B260" s="216" t="s">
        <v>1434</v>
      </c>
      <c r="C260" s="216" t="s">
        <v>1615</v>
      </c>
      <c r="D260" s="216" t="s">
        <v>183</v>
      </c>
      <c r="F260" s="216" t="s">
        <v>210</v>
      </c>
      <c r="G260" s="216" t="s">
        <v>167</v>
      </c>
      <c r="H260" s="216" t="s">
        <v>842</v>
      </c>
      <c r="I260" s="216" t="s">
        <v>249</v>
      </c>
      <c r="J260" s="216" t="s">
        <v>882</v>
      </c>
      <c r="K260" s="216">
        <v>2800</v>
      </c>
      <c r="M260" s="216" t="s">
        <v>182</v>
      </c>
      <c r="N260" s="263"/>
      <c r="O260" s="263"/>
      <c r="P260" s="263"/>
      <c r="Q260" s="216" t="s">
        <v>286</v>
      </c>
      <c r="R260" s="216" t="s">
        <v>2390</v>
      </c>
    </row>
    <row r="261" spans="1:18" ht="23" x14ac:dyDescent="0.35">
      <c r="A261" s="216" t="s">
        <v>2055</v>
      </c>
      <c r="B261" s="216" t="s">
        <v>1434</v>
      </c>
      <c r="C261" s="216" t="s">
        <v>1616</v>
      </c>
      <c r="D261" s="216" t="s">
        <v>183</v>
      </c>
      <c r="F261" s="216" t="s">
        <v>210</v>
      </c>
      <c r="G261" s="216" t="s">
        <v>167</v>
      </c>
      <c r="H261" s="216" t="s">
        <v>842</v>
      </c>
      <c r="I261" s="216" t="s">
        <v>251</v>
      </c>
      <c r="J261" s="216" t="s">
        <v>882</v>
      </c>
      <c r="K261" s="216">
        <v>2800</v>
      </c>
      <c r="M261" s="216" t="s">
        <v>850</v>
      </c>
      <c r="N261" s="263"/>
      <c r="O261" s="263"/>
      <c r="P261" s="263"/>
      <c r="Q261" s="216" t="s">
        <v>286</v>
      </c>
      <c r="R261" s="216" t="s">
        <v>2390</v>
      </c>
    </row>
    <row r="262" spans="1:18" ht="23" x14ac:dyDescent="0.35">
      <c r="A262" s="216" t="s">
        <v>2055</v>
      </c>
      <c r="B262" s="216" t="s">
        <v>1434</v>
      </c>
      <c r="C262" s="216" t="s">
        <v>1621</v>
      </c>
      <c r="D262" s="216" t="s">
        <v>183</v>
      </c>
      <c r="F262" s="216" t="s">
        <v>210</v>
      </c>
      <c r="G262" s="216" t="s">
        <v>167</v>
      </c>
      <c r="H262" s="216" t="s">
        <v>842</v>
      </c>
      <c r="I262" s="216" t="s">
        <v>161</v>
      </c>
      <c r="J262" s="216" t="s">
        <v>882</v>
      </c>
      <c r="K262" s="216">
        <v>2800</v>
      </c>
      <c r="M262" s="216" t="s">
        <v>182</v>
      </c>
      <c r="N262" s="263"/>
      <c r="O262" s="263"/>
      <c r="P262" s="263"/>
      <c r="Q262" s="216" t="s">
        <v>286</v>
      </c>
      <c r="R262" s="216" t="s">
        <v>2390</v>
      </c>
    </row>
    <row r="263" spans="1:18" ht="23" x14ac:dyDescent="0.35">
      <c r="A263" s="216" t="s">
        <v>2055</v>
      </c>
      <c r="B263" s="216" t="s">
        <v>1434</v>
      </c>
      <c r="C263" s="216" t="s">
        <v>1622</v>
      </c>
      <c r="D263" s="216" t="s">
        <v>183</v>
      </c>
      <c r="F263" s="216" t="s">
        <v>210</v>
      </c>
      <c r="G263" s="216" t="s">
        <v>167</v>
      </c>
      <c r="H263" s="216" t="s">
        <v>842</v>
      </c>
      <c r="I263" s="216" t="s">
        <v>223</v>
      </c>
      <c r="J263" s="216" t="s">
        <v>882</v>
      </c>
      <c r="K263" s="216">
        <v>2800</v>
      </c>
      <c r="M263" s="216" t="s">
        <v>182</v>
      </c>
      <c r="N263" s="263"/>
      <c r="O263" s="263"/>
      <c r="P263" s="263"/>
      <c r="Q263" s="216" t="s">
        <v>286</v>
      </c>
      <c r="R263" s="216" t="s">
        <v>2390</v>
      </c>
    </row>
    <row r="264" spans="1:18" ht="23" x14ac:dyDescent="0.35">
      <c r="A264" s="216" t="s">
        <v>2055</v>
      </c>
      <c r="B264" s="216" t="s">
        <v>1434</v>
      </c>
      <c r="C264" s="216" t="s">
        <v>1613</v>
      </c>
      <c r="D264" s="216" t="s">
        <v>183</v>
      </c>
      <c r="F264" s="216" t="s">
        <v>210</v>
      </c>
      <c r="G264" s="216" t="s">
        <v>167</v>
      </c>
      <c r="H264" s="216" t="s">
        <v>842</v>
      </c>
      <c r="I264" s="216" t="s">
        <v>203</v>
      </c>
      <c r="J264" s="216" t="s">
        <v>882</v>
      </c>
      <c r="K264" s="216">
        <v>2800</v>
      </c>
      <c r="M264" s="216" t="s">
        <v>850</v>
      </c>
      <c r="N264" s="263"/>
      <c r="O264" s="263"/>
      <c r="P264" s="263"/>
      <c r="Q264" s="216" t="s">
        <v>286</v>
      </c>
      <c r="R264" s="216" t="s">
        <v>2390</v>
      </c>
    </row>
    <row r="265" spans="1:18" ht="23" x14ac:dyDescent="0.35">
      <c r="A265" s="216" t="s">
        <v>2055</v>
      </c>
      <c r="B265" s="216" t="s">
        <v>1434</v>
      </c>
      <c r="C265" s="216" t="s">
        <v>1609</v>
      </c>
      <c r="D265" s="216" t="s">
        <v>159</v>
      </c>
      <c r="F265" s="216" t="s">
        <v>160</v>
      </c>
      <c r="G265" s="216" t="s">
        <v>167</v>
      </c>
      <c r="H265" s="216" t="s">
        <v>899</v>
      </c>
      <c r="I265" s="216" t="s">
        <v>1612</v>
      </c>
      <c r="J265" s="216" t="s">
        <v>899</v>
      </c>
      <c r="K265" s="216">
        <v>2400</v>
      </c>
      <c r="M265" s="216" t="s">
        <v>1601</v>
      </c>
      <c r="N265" s="263"/>
      <c r="O265" s="263"/>
      <c r="P265" s="263"/>
      <c r="Q265" s="216" t="s">
        <v>286</v>
      </c>
      <c r="R265" s="216" t="s">
        <v>2390</v>
      </c>
    </row>
    <row r="266" spans="1:18" ht="23" x14ac:dyDescent="0.35">
      <c r="A266" s="216" t="s">
        <v>2055</v>
      </c>
      <c r="B266" s="216" t="s">
        <v>1434</v>
      </c>
      <c r="C266" s="216" t="s">
        <v>1607</v>
      </c>
      <c r="D266" s="216" t="s">
        <v>159</v>
      </c>
      <c r="F266" s="216" t="s">
        <v>160</v>
      </c>
      <c r="G266" s="216" t="s">
        <v>167</v>
      </c>
      <c r="H266" s="216" t="s">
        <v>899</v>
      </c>
      <c r="I266" s="216" t="s">
        <v>833</v>
      </c>
      <c r="J266" s="216" t="s">
        <v>899</v>
      </c>
      <c r="K266" s="216">
        <v>3000</v>
      </c>
      <c r="M266" s="216" t="s">
        <v>1601</v>
      </c>
      <c r="N266" s="263"/>
      <c r="O266" s="263"/>
      <c r="P266" s="263"/>
      <c r="Q266" s="216" t="s">
        <v>286</v>
      </c>
      <c r="R266" s="216" t="s">
        <v>2390</v>
      </c>
    </row>
    <row r="267" spans="1:18" ht="23" x14ac:dyDescent="0.35">
      <c r="A267" s="216" t="s">
        <v>2055</v>
      </c>
      <c r="B267" s="216" t="s">
        <v>1434</v>
      </c>
      <c r="C267" s="216" t="s">
        <v>1608</v>
      </c>
      <c r="D267" s="216" t="s">
        <v>159</v>
      </c>
      <c r="F267" s="216" t="s">
        <v>160</v>
      </c>
      <c r="G267" s="216" t="s">
        <v>167</v>
      </c>
      <c r="H267" s="216" t="s">
        <v>899</v>
      </c>
      <c r="I267" s="216" t="s">
        <v>1593</v>
      </c>
      <c r="J267" s="216" t="s">
        <v>899</v>
      </c>
      <c r="K267" s="216">
        <v>2400</v>
      </c>
      <c r="M267" s="216" t="s">
        <v>1601</v>
      </c>
      <c r="N267" s="263"/>
      <c r="O267" s="263"/>
      <c r="P267" s="263"/>
      <c r="Q267" s="216" t="s">
        <v>286</v>
      </c>
      <c r="R267" s="216" t="s">
        <v>2390</v>
      </c>
    </row>
    <row r="268" spans="1:18" ht="23" x14ac:dyDescent="0.35">
      <c r="A268" s="216" t="s">
        <v>2055</v>
      </c>
      <c r="B268" s="216" t="s">
        <v>1434</v>
      </c>
      <c r="C268" s="216" t="s">
        <v>1619</v>
      </c>
      <c r="D268" s="216" t="s">
        <v>159</v>
      </c>
      <c r="F268" s="216" t="s">
        <v>160</v>
      </c>
      <c r="G268" s="216" t="s">
        <v>167</v>
      </c>
      <c r="H268" s="216" t="s">
        <v>899</v>
      </c>
      <c r="I268" s="216" t="s">
        <v>838</v>
      </c>
      <c r="J268" s="216" t="s">
        <v>899</v>
      </c>
      <c r="K268" s="216">
        <v>3000</v>
      </c>
      <c r="M268" s="216" t="s">
        <v>1601</v>
      </c>
      <c r="N268" s="263"/>
      <c r="O268" s="263"/>
      <c r="P268" s="263"/>
      <c r="Q268" s="216" t="s">
        <v>286</v>
      </c>
      <c r="R268" s="216" t="s">
        <v>2390</v>
      </c>
    </row>
    <row r="269" spans="1:18" ht="23" x14ac:dyDescent="0.35">
      <c r="A269" s="216" t="s">
        <v>2055</v>
      </c>
      <c r="B269" s="216" t="s">
        <v>1434</v>
      </c>
      <c r="C269" s="216" t="s">
        <v>1620</v>
      </c>
      <c r="D269" s="216" t="s">
        <v>159</v>
      </c>
      <c r="F269" s="216" t="s">
        <v>160</v>
      </c>
      <c r="G269" s="216" t="s">
        <v>167</v>
      </c>
      <c r="H269" s="216" t="s">
        <v>899</v>
      </c>
      <c r="I269" s="216" t="s">
        <v>831</v>
      </c>
      <c r="J269" s="216" t="s">
        <v>899</v>
      </c>
      <c r="K269" s="216">
        <v>2000</v>
      </c>
      <c r="M269" s="216" t="s">
        <v>1601</v>
      </c>
      <c r="N269" s="263"/>
      <c r="O269" s="263"/>
      <c r="P269" s="263"/>
      <c r="Q269" s="216" t="s">
        <v>286</v>
      </c>
      <c r="R269" s="216" t="s">
        <v>2390</v>
      </c>
    </row>
    <row r="270" spans="1:18" ht="23" x14ac:dyDescent="0.35">
      <c r="A270" s="216" t="s">
        <v>2055</v>
      </c>
      <c r="B270" s="216" t="s">
        <v>1434</v>
      </c>
      <c r="C270" s="216" t="s">
        <v>1600</v>
      </c>
      <c r="D270" s="216" t="s">
        <v>159</v>
      </c>
      <c r="F270" s="216" t="s">
        <v>160</v>
      </c>
      <c r="G270" s="216" t="s">
        <v>167</v>
      </c>
      <c r="H270" s="216" t="s">
        <v>899</v>
      </c>
      <c r="I270" s="216" t="s">
        <v>849</v>
      </c>
      <c r="J270" s="216" t="s">
        <v>899</v>
      </c>
      <c r="K270" s="216">
        <v>3000</v>
      </c>
      <c r="M270" s="216" t="s">
        <v>1601</v>
      </c>
      <c r="N270" s="263"/>
      <c r="O270" s="263"/>
      <c r="P270" s="263"/>
      <c r="Q270" s="216" t="s">
        <v>286</v>
      </c>
      <c r="R270" s="216" t="s">
        <v>2390</v>
      </c>
    </row>
    <row r="271" spans="1:18" ht="23" x14ac:dyDescent="0.35">
      <c r="A271" s="216" t="s">
        <v>2055</v>
      </c>
      <c r="B271" s="216" t="s">
        <v>1434</v>
      </c>
      <c r="C271" s="216" t="s">
        <v>1610</v>
      </c>
      <c r="D271" s="216" t="s">
        <v>159</v>
      </c>
      <c r="F271" s="216" t="s">
        <v>160</v>
      </c>
      <c r="G271" s="216" t="s">
        <v>167</v>
      </c>
      <c r="H271" s="216" t="s">
        <v>899</v>
      </c>
      <c r="I271" s="216" t="s">
        <v>875</v>
      </c>
      <c r="J271" s="216" t="s">
        <v>899</v>
      </c>
      <c r="K271" s="216">
        <v>3000</v>
      </c>
      <c r="M271" s="216" t="s">
        <v>1601</v>
      </c>
      <c r="N271" s="263"/>
      <c r="O271" s="263"/>
      <c r="P271" s="263"/>
      <c r="Q271" s="216" t="s">
        <v>286</v>
      </c>
      <c r="R271" s="216" t="s">
        <v>2390</v>
      </c>
    </row>
    <row r="272" spans="1:18" ht="23" x14ac:dyDescent="0.35">
      <c r="A272" s="216" t="s">
        <v>2055</v>
      </c>
      <c r="B272" s="216" t="s">
        <v>1434</v>
      </c>
      <c r="C272" s="216" t="s">
        <v>1611</v>
      </c>
      <c r="D272" s="216" t="s">
        <v>159</v>
      </c>
      <c r="F272" s="216" t="s">
        <v>160</v>
      </c>
      <c r="G272" s="216" t="s">
        <v>167</v>
      </c>
      <c r="H272" s="216" t="s">
        <v>899</v>
      </c>
      <c r="I272" s="216" t="s">
        <v>1595</v>
      </c>
      <c r="J272" s="216" t="s">
        <v>899</v>
      </c>
      <c r="K272" s="216">
        <v>2400</v>
      </c>
      <c r="M272" s="216" t="s">
        <v>1601</v>
      </c>
      <c r="N272" s="263"/>
      <c r="O272" s="263"/>
      <c r="P272" s="263"/>
      <c r="Q272" s="216" t="s">
        <v>286</v>
      </c>
      <c r="R272" s="216" t="s">
        <v>2390</v>
      </c>
    </row>
    <row r="273" spans="1:18" ht="23" x14ac:dyDescent="0.35">
      <c r="A273" s="216" t="s">
        <v>2055</v>
      </c>
      <c r="B273" s="216" t="s">
        <v>1434</v>
      </c>
      <c r="C273" s="216" t="s">
        <v>1602</v>
      </c>
      <c r="D273" s="216" t="s">
        <v>159</v>
      </c>
      <c r="E273" s="216" t="s">
        <v>159</v>
      </c>
      <c r="F273" s="216" t="s">
        <v>30</v>
      </c>
      <c r="G273" s="216" t="s">
        <v>196</v>
      </c>
      <c r="H273" s="216" t="s">
        <v>1605</v>
      </c>
      <c r="I273" s="216" t="s">
        <v>167</v>
      </c>
      <c r="J273" s="216" t="s">
        <v>1603</v>
      </c>
      <c r="K273" s="216" t="s">
        <v>1604</v>
      </c>
      <c r="N273" s="263"/>
      <c r="O273" s="263"/>
      <c r="P273" s="263"/>
      <c r="Q273" s="216" t="s">
        <v>1652</v>
      </c>
      <c r="R273" s="216" t="s">
        <v>2520</v>
      </c>
    </row>
    <row r="274" spans="1:18" ht="23" x14ac:dyDescent="0.35">
      <c r="A274" s="216" t="s">
        <v>2055</v>
      </c>
      <c r="B274" s="216" t="s">
        <v>1434</v>
      </c>
      <c r="C274" s="216" t="s">
        <v>1606</v>
      </c>
      <c r="D274" s="216" t="s">
        <v>159</v>
      </c>
      <c r="E274" s="216" t="s">
        <v>159</v>
      </c>
      <c r="F274" s="216" t="s">
        <v>30</v>
      </c>
      <c r="G274" s="216" t="s">
        <v>255</v>
      </c>
      <c r="H274" s="216" t="s">
        <v>1605</v>
      </c>
      <c r="I274" s="216" t="s">
        <v>167</v>
      </c>
      <c r="J274" s="216" t="s">
        <v>1603</v>
      </c>
      <c r="K274" s="216" t="s">
        <v>1604</v>
      </c>
      <c r="N274" s="263"/>
      <c r="O274" s="263"/>
      <c r="P274" s="263"/>
      <c r="Q274" s="216" t="s">
        <v>1652</v>
      </c>
      <c r="R274" s="216" t="s">
        <v>2521</v>
      </c>
    </row>
    <row r="275" spans="1:18" ht="23" x14ac:dyDescent="0.35">
      <c r="A275" s="216" t="s">
        <v>2055</v>
      </c>
      <c r="B275" s="216" t="s">
        <v>1434</v>
      </c>
      <c r="C275" s="216" t="s">
        <v>1617</v>
      </c>
      <c r="D275" s="216" t="s">
        <v>159</v>
      </c>
      <c r="E275" s="216" t="s">
        <v>159</v>
      </c>
      <c r="F275" s="216" t="s">
        <v>30</v>
      </c>
      <c r="G275" s="216" t="s">
        <v>841</v>
      </c>
      <c r="H275" s="216" t="s">
        <v>1605</v>
      </c>
      <c r="I275" s="216" t="s">
        <v>167</v>
      </c>
      <c r="J275" s="216" t="s">
        <v>1603</v>
      </c>
      <c r="K275" s="216" t="s">
        <v>1604</v>
      </c>
      <c r="N275" s="263"/>
      <c r="O275" s="263"/>
      <c r="P275" s="263"/>
      <c r="Q275" s="216" t="s">
        <v>1652</v>
      </c>
      <c r="R275" s="216" t="s">
        <v>2522</v>
      </c>
    </row>
    <row r="276" spans="1:18" ht="23" x14ac:dyDescent="0.35">
      <c r="A276" s="216" t="s">
        <v>2055</v>
      </c>
      <c r="B276" s="216" t="s">
        <v>1434</v>
      </c>
      <c r="C276" s="216" t="s">
        <v>1618</v>
      </c>
      <c r="D276" s="216" t="s">
        <v>159</v>
      </c>
      <c r="E276" s="216" t="s">
        <v>159</v>
      </c>
      <c r="F276" s="216" t="s">
        <v>30</v>
      </c>
      <c r="G276" s="216" t="s">
        <v>169</v>
      </c>
      <c r="H276" s="216" t="s">
        <v>1605</v>
      </c>
      <c r="I276" s="216" t="s">
        <v>167</v>
      </c>
      <c r="J276" s="216" t="s">
        <v>1603</v>
      </c>
      <c r="K276" s="216" t="s">
        <v>1604</v>
      </c>
      <c r="N276" s="263"/>
      <c r="O276" s="263"/>
      <c r="P276" s="263"/>
      <c r="Q276" s="216" t="s">
        <v>1652</v>
      </c>
      <c r="R276" s="216" t="s">
        <v>2523</v>
      </c>
    </row>
    <row r="277" spans="1:18" ht="23" x14ac:dyDescent="0.35">
      <c r="A277" s="216" t="s">
        <v>2822</v>
      </c>
      <c r="B277" s="216" t="s">
        <v>909</v>
      </c>
      <c r="C277" s="216" t="s">
        <v>2750</v>
      </c>
      <c r="D277" s="216" t="s">
        <v>159</v>
      </c>
      <c r="F277" s="216" t="s">
        <v>1725</v>
      </c>
      <c r="G277" s="216" t="s">
        <v>916</v>
      </c>
      <c r="H277" s="216" t="s">
        <v>2753</v>
      </c>
      <c r="L277" s="216" t="s">
        <v>934</v>
      </c>
      <c r="N277" s="263"/>
      <c r="O277" s="263"/>
      <c r="P277" s="263"/>
    </row>
    <row r="278" spans="1:18" ht="23" x14ac:dyDescent="0.35">
      <c r="A278" s="216" t="s">
        <v>2822</v>
      </c>
      <c r="B278" s="216" t="s">
        <v>909</v>
      </c>
      <c r="C278" s="216" t="s">
        <v>2751</v>
      </c>
      <c r="D278" s="216" t="s">
        <v>183</v>
      </c>
      <c r="F278" s="216" t="s">
        <v>1725</v>
      </c>
      <c r="G278" s="216" t="s">
        <v>947</v>
      </c>
      <c r="H278" s="216" t="s">
        <v>2754</v>
      </c>
      <c r="L278" s="216" t="s">
        <v>2756</v>
      </c>
      <c r="N278" s="263"/>
      <c r="O278" s="263"/>
      <c r="P278" s="263"/>
    </row>
    <row r="279" spans="1:18" ht="23" x14ac:dyDescent="0.35">
      <c r="A279" s="216" t="s">
        <v>2822</v>
      </c>
      <c r="B279" s="216" t="s">
        <v>909</v>
      </c>
      <c r="C279" s="216" t="s">
        <v>2752</v>
      </c>
      <c r="D279" s="216" t="s">
        <v>183</v>
      </c>
      <c r="F279" s="216" t="s">
        <v>1725</v>
      </c>
      <c r="G279" s="216" t="s">
        <v>947</v>
      </c>
      <c r="H279" s="216" t="s">
        <v>2755</v>
      </c>
      <c r="L279" s="216" t="s">
        <v>2756</v>
      </c>
      <c r="N279" s="263"/>
      <c r="O279" s="263"/>
      <c r="P279" s="263"/>
    </row>
    <row r="280" spans="1:18" ht="23" x14ac:dyDescent="0.35">
      <c r="A280" s="216" t="s">
        <v>2822</v>
      </c>
      <c r="B280" s="216" t="s">
        <v>909</v>
      </c>
      <c r="C280" s="216" t="s">
        <v>2757</v>
      </c>
      <c r="D280" s="216" t="s">
        <v>183</v>
      </c>
      <c r="F280" s="216" t="s">
        <v>1725</v>
      </c>
      <c r="G280" s="216" t="s">
        <v>947</v>
      </c>
      <c r="H280" s="216" t="s">
        <v>2759</v>
      </c>
      <c r="L280" s="216" t="s">
        <v>2756</v>
      </c>
      <c r="N280" s="263"/>
      <c r="O280" s="263"/>
      <c r="P280" s="263"/>
    </row>
    <row r="281" spans="1:18" ht="46" x14ac:dyDescent="0.35">
      <c r="A281" s="216" t="s">
        <v>2822</v>
      </c>
      <c r="B281" s="216" t="s">
        <v>909</v>
      </c>
      <c r="C281" s="216" t="s">
        <v>2758</v>
      </c>
      <c r="D281" s="216" t="s">
        <v>159</v>
      </c>
      <c r="F281" s="216" t="s">
        <v>1725</v>
      </c>
      <c r="G281" s="216" t="s">
        <v>911</v>
      </c>
      <c r="H281" s="216" t="s">
        <v>2760</v>
      </c>
      <c r="L281" s="216">
        <v>1000</v>
      </c>
      <c r="N281" s="263"/>
      <c r="O281" s="263"/>
      <c r="P281" s="263"/>
    </row>
    <row r="282" spans="1:18" ht="23" x14ac:dyDescent="0.35">
      <c r="A282" s="216" t="s">
        <v>2056</v>
      </c>
      <c r="B282" s="216" t="s">
        <v>909</v>
      </c>
      <c r="C282" s="216" t="s">
        <v>927</v>
      </c>
      <c r="D282" s="216" t="s">
        <v>159</v>
      </c>
      <c r="F282" s="216" t="s">
        <v>1725</v>
      </c>
      <c r="G282" s="216" t="s">
        <v>911</v>
      </c>
      <c r="H282" s="216" t="s">
        <v>928</v>
      </c>
      <c r="L282" s="216">
        <v>1000</v>
      </c>
      <c r="N282" s="263"/>
      <c r="O282" s="263"/>
      <c r="P282" s="263"/>
    </row>
    <row r="283" spans="1:18" ht="23" x14ac:dyDescent="0.35">
      <c r="A283" s="216" t="s">
        <v>2056</v>
      </c>
      <c r="B283" s="216" t="s">
        <v>909</v>
      </c>
      <c r="C283" s="216" t="s">
        <v>927</v>
      </c>
      <c r="D283" s="216" t="s">
        <v>159</v>
      </c>
      <c r="F283" s="216" t="s">
        <v>1725</v>
      </c>
      <c r="G283" s="216" t="s">
        <v>911</v>
      </c>
      <c r="H283" s="216" t="s">
        <v>928</v>
      </c>
      <c r="L283" s="216">
        <v>1000</v>
      </c>
      <c r="N283" s="263"/>
      <c r="O283" s="263"/>
      <c r="P283" s="263"/>
    </row>
    <row r="284" spans="1:18" ht="23" x14ac:dyDescent="0.35">
      <c r="A284" s="216" t="s">
        <v>2056</v>
      </c>
      <c r="B284" s="216" t="s">
        <v>909</v>
      </c>
      <c r="C284" s="216" t="s">
        <v>929</v>
      </c>
      <c r="D284" s="216" t="s">
        <v>183</v>
      </c>
      <c r="F284" s="216" t="s">
        <v>1725</v>
      </c>
      <c r="G284" s="216" t="s">
        <v>916</v>
      </c>
      <c r="H284" s="216" t="s">
        <v>187</v>
      </c>
      <c r="L284" s="216" t="s">
        <v>932</v>
      </c>
      <c r="N284" s="263"/>
      <c r="O284" s="263"/>
      <c r="P284" s="263"/>
    </row>
    <row r="285" spans="1:18" ht="23" x14ac:dyDescent="0.35">
      <c r="A285" s="216" t="s">
        <v>2056</v>
      </c>
      <c r="B285" s="216" t="s">
        <v>909</v>
      </c>
      <c r="C285" s="216" t="s">
        <v>924</v>
      </c>
      <c r="D285" s="216" t="s">
        <v>159</v>
      </c>
      <c r="F285" s="216" t="s">
        <v>1725</v>
      </c>
      <c r="G285" s="216" t="s">
        <v>911</v>
      </c>
      <c r="H285" s="216" t="s">
        <v>925</v>
      </c>
      <c r="I285" s="216" t="s">
        <v>926</v>
      </c>
      <c r="L285" s="216">
        <v>1000</v>
      </c>
      <c r="N285" s="263"/>
      <c r="O285" s="263"/>
      <c r="P285" s="263"/>
    </row>
    <row r="286" spans="1:18" ht="23" x14ac:dyDescent="0.35">
      <c r="A286" s="216" t="s">
        <v>2056</v>
      </c>
      <c r="B286" s="216" t="s">
        <v>909</v>
      </c>
      <c r="C286" s="216" t="s">
        <v>935</v>
      </c>
      <c r="D286" s="216" t="s">
        <v>183</v>
      </c>
      <c r="F286" s="216" t="s">
        <v>1725</v>
      </c>
      <c r="G286" s="216" t="s">
        <v>947</v>
      </c>
      <c r="H286" s="216" t="s">
        <v>938</v>
      </c>
      <c r="L286" s="216" t="s">
        <v>934</v>
      </c>
      <c r="N286" s="263"/>
      <c r="O286" s="263"/>
      <c r="P286" s="263"/>
    </row>
    <row r="287" spans="1:18" ht="23" x14ac:dyDescent="0.35">
      <c r="A287" s="216" t="s">
        <v>2056</v>
      </c>
      <c r="B287" s="216" t="s">
        <v>909</v>
      </c>
      <c r="C287" s="216" t="s">
        <v>935</v>
      </c>
      <c r="D287" s="216" t="s">
        <v>183</v>
      </c>
      <c r="F287" s="216" t="s">
        <v>1725</v>
      </c>
      <c r="G287" s="216" t="s">
        <v>947</v>
      </c>
      <c r="H287" s="216" t="s">
        <v>938</v>
      </c>
      <c r="L287" s="216" t="s">
        <v>934</v>
      </c>
      <c r="N287" s="263"/>
      <c r="O287" s="263"/>
      <c r="P287" s="263"/>
    </row>
    <row r="288" spans="1:18" ht="23" x14ac:dyDescent="0.35">
      <c r="A288" s="216" t="s">
        <v>2056</v>
      </c>
      <c r="B288" s="216" t="s">
        <v>909</v>
      </c>
      <c r="C288" s="216" t="s">
        <v>946</v>
      </c>
      <c r="D288" s="216" t="s">
        <v>183</v>
      </c>
      <c r="F288" s="216" t="s">
        <v>1725</v>
      </c>
      <c r="G288" s="216" t="s">
        <v>947</v>
      </c>
      <c r="H288" s="216" t="s">
        <v>950</v>
      </c>
      <c r="J288" s="216" t="s">
        <v>2650</v>
      </c>
      <c r="L288" s="216">
        <v>1000</v>
      </c>
      <c r="N288" s="263"/>
      <c r="O288" s="263"/>
      <c r="P288" s="263"/>
    </row>
    <row r="289" spans="1:16" ht="23" x14ac:dyDescent="0.35">
      <c r="A289" s="216" t="s">
        <v>2056</v>
      </c>
      <c r="B289" s="216" t="s">
        <v>909</v>
      </c>
      <c r="C289" s="216" t="s">
        <v>930</v>
      </c>
      <c r="D289" s="216" t="s">
        <v>183</v>
      </c>
      <c r="F289" s="216" t="s">
        <v>1725</v>
      </c>
      <c r="G289" s="216" t="s">
        <v>916</v>
      </c>
      <c r="H289" s="216" t="s">
        <v>187</v>
      </c>
      <c r="L289" s="216" t="s">
        <v>933</v>
      </c>
      <c r="N289" s="263"/>
      <c r="O289" s="263"/>
      <c r="P289" s="263"/>
    </row>
    <row r="290" spans="1:16" ht="23" x14ac:dyDescent="0.35">
      <c r="A290" s="216" t="s">
        <v>2056</v>
      </c>
      <c r="B290" s="216" t="s">
        <v>909</v>
      </c>
      <c r="C290" s="216" t="s">
        <v>941</v>
      </c>
      <c r="D290" s="216" t="s">
        <v>183</v>
      </c>
      <c r="F290" s="216" t="s">
        <v>1725</v>
      </c>
      <c r="G290" s="216" t="s">
        <v>947</v>
      </c>
      <c r="H290" s="216" t="s">
        <v>942</v>
      </c>
      <c r="L290" s="216" t="s">
        <v>943</v>
      </c>
      <c r="N290" s="263"/>
      <c r="O290" s="263"/>
      <c r="P290" s="263"/>
    </row>
    <row r="291" spans="1:16" ht="23" x14ac:dyDescent="0.35">
      <c r="A291" s="216" t="s">
        <v>2056</v>
      </c>
      <c r="B291" s="216" t="s">
        <v>909</v>
      </c>
      <c r="C291" s="216" t="s">
        <v>931</v>
      </c>
      <c r="D291" s="216" t="s">
        <v>183</v>
      </c>
      <c r="F291" s="216" t="s">
        <v>1725</v>
      </c>
      <c r="G291" s="216" t="s">
        <v>916</v>
      </c>
      <c r="H291" s="216" t="s">
        <v>187</v>
      </c>
      <c r="L291" s="216" t="s">
        <v>934</v>
      </c>
      <c r="N291" s="263"/>
      <c r="O291" s="263"/>
      <c r="P291" s="263"/>
    </row>
    <row r="292" spans="1:16" ht="23" x14ac:dyDescent="0.35">
      <c r="A292" s="216" t="s">
        <v>2056</v>
      </c>
      <c r="B292" s="216" t="s">
        <v>909</v>
      </c>
      <c r="C292" s="216" t="s">
        <v>923</v>
      </c>
      <c r="D292" s="216" t="s">
        <v>159</v>
      </c>
      <c r="F292" s="216" t="s">
        <v>1725</v>
      </c>
      <c r="G292" s="216" t="s">
        <v>916</v>
      </c>
      <c r="H292" s="216" t="s">
        <v>187</v>
      </c>
      <c r="L292" s="216">
        <v>1500</v>
      </c>
      <c r="N292" s="263"/>
      <c r="O292" s="263"/>
      <c r="P292" s="263"/>
    </row>
    <row r="293" spans="1:16" ht="23" x14ac:dyDescent="0.35">
      <c r="A293" s="216" t="s">
        <v>2056</v>
      </c>
      <c r="B293" s="216" t="s">
        <v>909</v>
      </c>
      <c r="C293" s="216" t="s">
        <v>923</v>
      </c>
      <c r="D293" s="216" t="s">
        <v>159</v>
      </c>
      <c r="F293" s="216" t="s">
        <v>1725</v>
      </c>
      <c r="G293" s="216" t="s">
        <v>916</v>
      </c>
      <c r="H293" s="216" t="s">
        <v>187</v>
      </c>
      <c r="L293" s="216">
        <v>1500</v>
      </c>
      <c r="N293" s="263"/>
      <c r="O293" s="263"/>
      <c r="P293" s="263"/>
    </row>
    <row r="294" spans="1:16" ht="23" x14ac:dyDescent="0.35">
      <c r="A294" s="216" t="s">
        <v>2056</v>
      </c>
      <c r="B294" s="216" t="s">
        <v>909</v>
      </c>
      <c r="C294" s="216" t="s">
        <v>921</v>
      </c>
      <c r="D294" s="216" t="s">
        <v>159</v>
      </c>
      <c r="F294" s="216" t="s">
        <v>1725</v>
      </c>
      <c r="G294" s="216" t="s">
        <v>911</v>
      </c>
      <c r="H294" s="216" t="s">
        <v>922</v>
      </c>
      <c r="I294" s="216" t="s">
        <v>602</v>
      </c>
      <c r="L294" s="216" t="s">
        <v>224</v>
      </c>
      <c r="N294" s="263"/>
      <c r="O294" s="263"/>
      <c r="P294" s="263"/>
    </row>
    <row r="295" spans="1:16" ht="23" x14ac:dyDescent="0.35">
      <c r="A295" s="216" t="s">
        <v>2056</v>
      </c>
      <c r="B295" s="216" t="s">
        <v>909</v>
      </c>
      <c r="C295" s="216" t="s">
        <v>936</v>
      </c>
      <c r="D295" s="216" t="s">
        <v>183</v>
      </c>
      <c r="F295" s="216" t="s">
        <v>1725</v>
      </c>
      <c r="G295" s="216" t="s">
        <v>947</v>
      </c>
      <c r="H295" s="216" t="s">
        <v>939</v>
      </c>
      <c r="L295" s="216" t="s">
        <v>934</v>
      </c>
      <c r="N295" s="263"/>
      <c r="O295" s="263"/>
      <c r="P295" s="263"/>
    </row>
    <row r="296" spans="1:16" ht="23" x14ac:dyDescent="0.35">
      <c r="A296" s="216" t="s">
        <v>2056</v>
      </c>
      <c r="B296" s="216" t="s">
        <v>909</v>
      </c>
      <c r="C296" s="216" t="s">
        <v>936</v>
      </c>
      <c r="D296" s="216" t="s">
        <v>183</v>
      </c>
      <c r="F296" s="216" t="s">
        <v>1725</v>
      </c>
      <c r="G296" s="216" t="s">
        <v>947</v>
      </c>
      <c r="H296" s="216" t="s">
        <v>939</v>
      </c>
      <c r="L296" s="216" t="s">
        <v>934</v>
      </c>
      <c r="N296" s="263"/>
      <c r="O296" s="263"/>
      <c r="P296" s="263"/>
    </row>
    <row r="297" spans="1:16" ht="23" x14ac:dyDescent="0.35">
      <c r="A297" s="216" t="s">
        <v>2056</v>
      </c>
      <c r="B297" s="216" t="s">
        <v>909</v>
      </c>
      <c r="C297" s="216" t="s">
        <v>919</v>
      </c>
      <c r="D297" s="216" t="s">
        <v>159</v>
      </c>
      <c r="F297" s="216" t="s">
        <v>1725</v>
      </c>
      <c r="G297" s="216" t="s">
        <v>911</v>
      </c>
      <c r="H297" s="216" t="s">
        <v>920</v>
      </c>
      <c r="L297" s="216" t="s">
        <v>224</v>
      </c>
      <c r="N297" s="263"/>
      <c r="O297" s="263"/>
      <c r="P297" s="263"/>
    </row>
    <row r="298" spans="1:16" ht="23" x14ac:dyDescent="0.35">
      <c r="A298" s="216" t="s">
        <v>2056</v>
      </c>
      <c r="B298" s="216" t="s">
        <v>909</v>
      </c>
      <c r="C298" s="216" t="s">
        <v>917</v>
      </c>
      <c r="D298" s="216" t="s">
        <v>159</v>
      </c>
      <c r="F298" s="216" t="s">
        <v>1725</v>
      </c>
      <c r="G298" s="216" t="s">
        <v>911</v>
      </c>
      <c r="H298" s="216" t="s">
        <v>918</v>
      </c>
      <c r="L298" s="216" t="s">
        <v>647</v>
      </c>
      <c r="N298" s="263"/>
      <c r="O298" s="263"/>
      <c r="P298" s="263"/>
    </row>
    <row r="299" spans="1:16" ht="23" x14ac:dyDescent="0.35">
      <c r="A299" s="216" t="s">
        <v>2056</v>
      </c>
      <c r="B299" s="216" t="s">
        <v>909</v>
      </c>
      <c r="C299" s="216" t="s">
        <v>915</v>
      </c>
      <c r="D299" s="216" t="s">
        <v>159</v>
      </c>
      <c r="F299" s="216" t="s">
        <v>1725</v>
      </c>
      <c r="G299" s="216" t="s">
        <v>916</v>
      </c>
      <c r="H299" s="216" t="s">
        <v>197</v>
      </c>
      <c r="L299" s="216">
        <v>2000</v>
      </c>
      <c r="N299" s="263"/>
      <c r="O299" s="263"/>
      <c r="P299" s="263"/>
    </row>
    <row r="300" spans="1:16" ht="23" x14ac:dyDescent="0.35">
      <c r="A300" s="216" t="s">
        <v>2056</v>
      </c>
      <c r="B300" s="216" t="s">
        <v>909</v>
      </c>
      <c r="C300" s="216" t="s">
        <v>913</v>
      </c>
      <c r="D300" s="216" t="s">
        <v>159</v>
      </c>
      <c r="F300" s="216" t="s">
        <v>1725</v>
      </c>
      <c r="G300" s="216" t="s">
        <v>911</v>
      </c>
      <c r="H300" s="216" t="s">
        <v>914</v>
      </c>
      <c r="I300" s="216" t="s">
        <v>602</v>
      </c>
      <c r="L300" s="216" t="s">
        <v>647</v>
      </c>
      <c r="N300" s="263"/>
      <c r="O300" s="263"/>
      <c r="P300" s="263"/>
    </row>
    <row r="301" spans="1:16" ht="23" x14ac:dyDescent="0.35">
      <c r="A301" s="216" t="s">
        <v>2056</v>
      </c>
      <c r="B301" s="216" t="s">
        <v>909</v>
      </c>
      <c r="C301" s="216" t="s">
        <v>944</v>
      </c>
      <c r="D301" s="216" t="s">
        <v>183</v>
      </c>
      <c r="F301" s="216" t="s">
        <v>1725</v>
      </c>
      <c r="G301" s="216" t="s">
        <v>947</v>
      </c>
      <c r="H301" s="216" t="s">
        <v>948</v>
      </c>
      <c r="L301" s="216">
        <v>2000</v>
      </c>
      <c r="N301" s="263"/>
      <c r="O301" s="263"/>
      <c r="P301" s="263"/>
    </row>
    <row r="302" spans="1:16" ht="23" x14ac:dyDescent="0.35">
      <c r="A302" s="216" t="s">
        <v>2056</v>
      </c>
      <c r="B302" s="216" t="s">
        <v>909</v>
      </c>
      <c r="C302" s="216" t="s">
        <v>945</v>
      </c>
      <c r="D302" s="216" t="s">
        <v>183</v>
      </c>
      <c r="F302" s="216" t="s">
        <v>1725</v>
      </c>
      <c r="G302" s="216" t="s">
        <v>947</v>
      </c>
      <c r="H302" s="216" t="s">
        <v>949</v>
      </c>
      <c r="L302" s="216">
        <v>1500</v>
      </c>
      <c r="N302" s="263"/>
      <c r="O302" s="263"/>
      <c r="P302" s="263"/>
    </row>
    <row r="303" spans="1:16" ht="23" x14ac:dyDescent="0.35">
      <c r="A303" s="216" t="s">
        <v>2056</v>
      </c>
      <c r="B303" s="216" t="s">
        <v>909</v>
      </c>
      <c r="C303" s="216" t="s">
        <v>945</v>
      </c>
      <c r="D303" s="216" t="s">
        <v>183</v>
      </c>
      <c r="F303" s="216" t="s">
        <v>1725</v>
      </c>
      <c r="G303" s="216" t="s">
        <v>947</v>
      </c>
      <c r="H303" s="216" t="s">
        <v>949</v>
      </c>
      <c r="L303" s="216">
        <v>1500</v>
      </c>
      <c r="N303" s="263"/>
      <c r="O303" s="263"/>
      <c r="P303" s="263"/>
    </row>
    <row r="304" spans="1:16" ht="23" x14ac:dyDescent="0.35">
      <c r="A304" s="216" t="s">
        <v>2056</v>
      </c>
      <c r="B304" s="216" t="s">
        <v>909</v>
      </c>
      <c r="C304" s="216" t="s">
        <v>910</v>
      </c>
      <c r="D304" s="216" t="s">
        <v>159</v>
      </c>
      <c r="F304" s="216" t="s">
        <v>1725</v>
      </c>
      <c r="G304" s="216" t="s">
        <v>911</v>
      </c>
      <c r="H304" s="216" t="s">
        <v>912</v>
      </c>
      <c r="L304" s="216">
        <v>1000</v>
      </c>
      <c r="N304" s="263"/>
      <c r="O304" s="263"/>
      <c r="P304" s="263"/>
    </row>
    <row r="305" spans="1:18" ht="23" x14ac:dyDescent="0.35">
      <c r="A305" s="216" t="s">
        <v>2056</v>
      </c>
      <c r="B305" s="216" t="s">
        <v>909</v>
      </c>
      <c r="C305" s="216" t="s">
        <v>937</v>
      </c>
      <c r="D305" s="216" t="s">
        <v>183</v>
      </c>
      <c r="F305" s="216" t="s">
        <v>1725</v>
      </c>
      <c r="G305" s="216" t="s">
        <v>947</v>
      </c>
      <c r="H305" s="216" t="s">
        <v>940</v>
      </c>
      <c r="L305" s="216" t="s">
        <v>934</v>
      </c>
      <c r="N305" s="263"/>
      <c r="O305" s="263"/>
      <c r="P305" s="263"/>
    </row>
    <row r="306" spans="1:18" ht="23" x14ac:dyDescent="0.35">
      <c r="A306" s="216" t="s">
        <v>2056</v>
      </c>
      <c r="B306" s="216" t="s">
        <v>909</v>
      </c>
      <c r="C306" s="216" t="s">
        <v>937</v>
      </c>
      <c r="D306" s="216" t="s">
        <v>183</v>
      </c>
      <c r="F306" s="216" t="s">
        <v>1725</v>
      </c>
      <c r="G306" s="216" t="s">
        <v>947</v>
      </c>
      <c r="H306" s="216" t="s">
        <v>940</v>
      </c>
      <c r="L306" s="216" t="s">
        <v>934</v>
      </c>
      <c r="N306" s="263"/>
      <c r="O306" s="263"/>
      <c r="P306" s="263"/>
    </row>
    <row r="307" spans="1:18" ht="23" x14ac:dyDescent="0.35">
      <c r="A307" s="216" t="s">
        <v>2825</v>
      </c>
      <c r="B307" s="216" t="s">
        <v>297</v>
      </c>
      <c r="C307" s="216" t="s">
        <v>318</v>
      </c>
      <c r="D307" s="216" t="s">
        <v>183</v>
      </c>
      <c r="F307" s="216" t="s">
        <v>184</v>
      </c>
      <c r="G307" s="216" t="s">
        <v>223</v>
      </c>
      <c r="H307" s="216" t="s">
        <v>197</v>
      </c>
      <c r="K307" s="216">
        <v>4000</v>
      </c>
      <c r="M307" s="216" t="s">
        <v>850</v>
      </c>
      <c r="O307" s="233">
        <v>2</v>
      </c>
      <c r="P307" s="236">
        <v>1</v>
      </c>
      <c r="Q307" s="216" t="s">
        <v>1903</v>
      </c>
    </row>
    <row r="308" spans="1:18" ht="23" x14ac:dyDescent="0.35">
      <c r="A308" s="216" t="s">
        <v>2825</v>
      </c>
      <c r="B308" s="216" t="s">
        <v>297</v>
      </c>
      <c r="C308" s="216" t="s">
        <v>322</v>
      </c>
      <c r="D308" s="216" t="s">
        <v>183</v>
      </c>
      <c r="F308" s="216" t="s">
        <v>184</v>
      </c>
      <c r="G308" s="216" t="s">
        <v>168</v>
      </c>
      <c r="H308" s="216" t="s">
        <v>197</v>
      </c>
      <c r="K308" s="216">
        <v>4000</v>
      </c>
      <c r="M308" s="216" t="s">
        <v>850</v>
      </c>
      <c r="O308" s="233">
        <v>2</v>
      </c>
      <c r="Q308" s="216" t="s">
        <v>1903</v>
      </c>
    </row>
    <row r="309" spans="1:18" ht="23" x14ac:dyDescent="0.35">
      <c r="A309" s="216" t="s">
        <v>2825</v>
      </c>
      <c r="B309" s="216" t="s">
        <v>297</v>
      </c>
      <c r="C309" s="216" t="s">
        <v>304</v>
      </c>
      <c r="D309" s="216" t="s">
        <v>183</v>
      </c>
      <c r="E309" s="216" t="s">
        <v>159</v>
      </c>
      <c r="F309" s="216" t="s">
        <v>210</v>
      </c>
      <c r="G309" s="216" t="s">
        <v>162</v>
      </c>
      <c r="H309" s="216" t="s">
        <v>647</v>
      </c>
      <c r="I309" s="216" t="s">
        <v>252</v>
      </c>
      <c r="J309" s="216" t="s">
        <v>656</v>
      </c>
      <c r="K309" s="216">
        <v>3500</v>
      </c>
      <c r="M309" s="216" t="s">
        <v>850</v>
      </c>
      <c r="Q309" s="216" t="s">
        <v>21</v>
      </c>
      <c r="R309" s="216" t="s">
        <v>2964</v>
      </c>
    </row>
    <row r="310" spans="1:18" ht="23" x14ac:dyDescent="0.35">
      <c r="A310" s="216" t="s">
        <v>2825</v>
      </c>
      <c r="B310" s="216" t="s">
        <v>297</v>
      </c>
      <c r="C310" s="216" t="s">
        <v>321</v>
      </c>
      <c r="D310" s="216" t="s">
        <v>183</v>
      </c>
      <c r="E310" s="216" t="s">
        <v>159</v>
      </c>
      <c r="F310" s="216" t="s">
        <v>184</v>
      </c>
      <c r="G310" s="216" t="s">
        <v>170</v>
      </c>
      <c r="H310" s="216" t="s">
        <v>197</v>
      </c>
      <c r="K310" s="216">
        <v>4000</v>
      </c>
      <c r="Q310" s="216" t="s">
        <v>192</v>
      </c>
      <c r="R310" s="216" t="s">
        <v>2539</v>
      </c>
    </row>
    <row r="311" spans="1:18" ht="23" x14ac:dyDescent="0.35">
      <c r="A311" s="216" t="s">
        <v>2825</v>
      </c>
      <c r="B311" s="216" t="s">
        <v>297</v>
      </c>
      <c r="C311" s="216" t="s">
        <v>315</v>
      </c>
      <c r="D311" s="216" t="s">
        <v>183</v>
      </c>
      <c r="E311" s="216" t="s">
        <v>159</v>
      </c>
      <c r="F311" s="216" t="s">
        <v>184</v>
      </c>
      <c r="G311" s="216" t="s">
        <v>241</v>
      </c>
      <c r="H311" s="216" t="s">
        <v>197</v>
      </c>
      <c r="K311" s="216">
        <v>3500</v>
      </c>
      <c r="M311" s="216" t="s">
        <v>202</v>
      </c>
      <c r="O311" s="233">
        <v>2</v>
      </c>
    </row>
    <row r="312" spans="1:18" ht="23" x14ac:dyDescent="0.35">
      <c r="A312" s="216" t="s">
        <v>2825</v>
      </c>
      <c r="B312" s="216" t="s">
        <v>297</v>
      </c>
      <c r="C312" s="216" t="s">
        <v>1427</v>
      </c>
      <c r="D312" s="216" t="s">
        <v>183</v>
      </c>
      <c r="F312" s="216" t="s">
        <v>184</v>
      </c>
      <c r="G312" s="216" t="s">
        <v>180</v>
      </c>
      <c r="H312" s="216" t="s">
        <v>324</v>
      </c>
      <c r="K312" s="216">
        <v>5000</v>
      </c>
      <c r="M312" s="216" t="s">
        <v>182</v>
      </c>
      <c r="Q312" s="216" t="s">
        <v>1906</v>
      </c>
    </row>
    <row r="313" spans="1:18" ht="23" x14ac:dyDescent="0.35">
      <c r="A313" s="216" t="s">
        <v>2825</v>
      </c>
      <c r="B313" s="216" t="s">
        <v>297</v>
      </c>
      <c r="C313" s="216" t="s">
        <v>323</v>
      </c>
      <c r="D313" s="216" t="s">
        <v>183</v>
      </c>
      <c r="F313" s="216" t="s">
        <v>184</v>
      </c>
      <c r="G313" s="216" t="s">
        <v>251</v>
      </c>
      <c r="H313" s="216" t="s">
        <v>197</v>
      </c>
      <c r="K313" s="216">
        <v>4000</v>
      </c>
      <c r="M313" s="216" t="s">
        <v>182</v>
      </c>
      <c r="O313" s="233">
        <v>1</v>
      </c>
      <c r="P313" s="236">
        <v>2</v>
      </c>
      <c r="Q313" s="216" t="s">
        <v>1903</v>
      </c>
    </row>
    <row r="314" spans="1:18" ht="23" x14ac:dyDescent="0.35">
      <c r="A314" s="216" t="s">
        <v>2825</v>
      </c>
      <c r="B314" s="216" t="s">
        <v>297</v>
      </c>
      <c r="C314" s="216" t="s">
        <v>307</v>
      </c>
      <c r="D314" s="216" t="s">
        <v>183</v>
      </c>
      <c r="F314" s="216" t="s">
        <v>184</v>
      </c>
      <c r="G314" s="216" t="s">
        <v>171</v>
      </c>
      <c r="H314" s="216" t="s">
        <v>197</v>
      </c>
      <c r="K314" s="216" t="s">
        <v>308</v>
      </c>
      <c r="M314" s="216" t="s">
        <v>198</v>
      </c>
      <c r="O314" s="233">
        <v>2</v>
      </c>
      <c r="Q314" s="216" t="s">
        <v>309</v>
      </c>
    </row>
    <row r="315" spans="1:18" ht="23" x14ac:dyDescent="0.35">
      <c r="A315" s="216" t="s">
        <v>2825</v>
      </c>
      <c r="B315" s="216" t="s">
        <v>297</v>
      </c>
      <c r="C315" s="216" t="s">
        <v>303</v>
      </c>
      <c r="D315" s="216" t="s">
        <v>183</v>
      </c>
      <c r="E315" s="216" t="s">
        <v>159</v>
      </c>
      <c r="F315" s="216" t="s">
        <v>30</v>
      </c>
      <c r="G315" s="216" t="s">
        <v>246</v>
      </c>
      <c r="H315" s="216" t="s">
        <v>639</v>
      </c>
      <c r="I315" s="216" t="s">
        <v>162</v>
      </c>
      <c r="J315" s="216" t="s">
        <v>642</v>
      </c>
      <c r="K315" s="216">
        <v>3500</v>
      </c>
      <c r="M315" s="216" t="s">
        <v>178</v>
      </c>
      <c r="N315" s="230">
        <v>2</v>
      </c>
      <c r="P315" s="236">
        <v>1</v>
      </c>
    </row>
    <row r="316" spans="1:18" ht="23" x14ac:dyDescent="0.35">
      <c r="A316" s="216" t="s">
        <v>2825</v>
      </c>
      <c r="B316" s="216" t="s">
        <v>297</v>
      </c>
      <c r="C316" s="216" t="s">
        <v>300</v>
      </c>
      <c r="D316" s="216" t="s">
        <v>183</v>
      </c>
      <c r="F316" s="216" t="s">
        <v>30</v>
      </c>
      <c r="G316" s="216" t="s">
        <v>203</v>
      </c>
      <c r="H316" s="216" t="s">
        <v>639</v>
      </c>
      <c r="I316" s="216" t="s">
        <v>162</v>
      </c>
      <c r="J316" s="216" t="s">
        <v>642</v>
      </c>
      <c r="K316" s="216">
        <v>3500</v>
      </c>
      <c r="M316" s="216" t="s">
        <v>182</v>
      </c>
      <c r="P316" s="236">
        <v>2</v>
      </c>
    </row>
    <row r="317" spans="1:18" ht="23" x14ac:dyDescent="0.35">
      <c r="A317" s="216" t="s">
        <v>2825</v>
      </c>
      <c r="B317" s="216" t="s">
        <v>297</v>
      </c>
      <c r="C317" s="216" t="s">
        <v>305</v>
      </c>
      <c r="D317" s="216" t="s">
        <v>183</v>
      </c>
      <c r="E317" s="216" t="s">
        <v>159</v>
      </c>
      <c r="F317" s="216" t="s">
        <v>210</v>
      </c>
      <c r="G317" s="216" t="s">
        <v>205</v>
      </c>
      <c r="H317" s="216" t="s">
        <v>647</v>
      </c>
      <c r="I317" s="216" t="s">
        <v>223</v>
      </c>
      <c r="J317" s="216" t="s">
        <v>656</v>
      </c>
      <c r="K317" s="216">
        <v>3500</v>
      </c>
      <c r="M317" s="216" t="s">
        <v>850</v>
      </c>
      <c r="Q317" s="216" t="s">
        <v>21</v>
      </c>
      <c r="R317" s="216" t="s">
        <v>2964</v>
      </c>
    </row>
    <row r="318" spans="1:18" ht="23" x14ac:dyDescent="0.35">
      <c r="A318" s="216" t="s">
        <v>2825</v>
      </c>
      <c r="B318" s="216" t="s">
        <v>297</v>
      </c>
      <c r="C318" s="216" t="s">
        <v>306</v>
      </c>
      <c r="D318" s="216" t="s">
        <v>183</v>
      </c>
      <c r="F318" s="216" t="s">
        <v>210</v>
      </c>
      <c r="G318" s="216" t="s">
        <v>212</v>
      </c>
      <c r="H318" s="216" t="s">
        <v>658</v>
      </c>
      <c r="I318" s="216" t="s">
        <v>161</v>
      </c>
      <c r="J318" s="216" t="s">
        <v>659</v>
      </c>
      <c r="K318" s="216">
        <v>3500</v>
      </c>
      <c r="M318" s="216" t="s">
        <v>850</v>
      </c>
      <c r="O318" s="233">
        <v>2</v>
      </c>
    </row>
    <row r="319" spans="1:18" ht="23" x14ac:dyDescent="0.35">
      <c r="A319" s="216" t="s">
        <v>2825</v>
      </c>
      <c r="B319" s="216" t="s">
        <v>297</v>
      </c>
      <c r="C319" s="216" t="s">
        <v>1734</v>
      </c>
      <c r="D319" s="216" t="s">
        <v>183</v>
      </c>
      <c r="E319" s="216" t="s">
        <v>159</v>
      </c>
      <c r="F319" s="216" t="s">
        <v>184</v>
      </c>
      <c r="G319" s="216" t="s">
        <v>171</v>
      </c>
      <c r="H319" s="216" t="s">
        <v>197</v>
      </c>
      <c r="K319" s="216">
        <v>4000</v>
      </c>
      <c r="Q319" s="216" t="s">
        <v>317</v>
      </c>
      <c r="R319" s="216" t="s">
        <v>2540</v>
      </c>
    </row>
    <row r="320" spans="1:18" ht="23" x14ac:dyDescent="0.35">
      <c r="A320" s="216" t="s">
        <v>2825</v>
      </c>
      <c r="B320" s="216" t="s">
        <v>297</v>
      </c>
      <c r="C320" s="216" t="s">
        <v>312</v>
      </c>
      <c r="D320" s="216" t="s">
        <v>183</v>
      </c>
      <c r="E320" s="216" t="s">
        <v>159</v>
      </c>
      <c r="F320" s="216" t="s">
        <v>184</v>
      </c>
      <c r="G320" s="216" t="s">
        <v>283</v>
      </c>
      <c r="H320" s="216" t="s">
        <v>197</v>
      </c>
      <c r="K320" s="216">
        <v>3500</v>
      </c>
      <c r="M320" s="216" t="s">
        <v>178</v>
      </c>
      <c r="N320" s="230">
        <v>2</v>
      </c>
      <c r="P320" s="236">
        <v>1</v>
      </c>
    </row>
    <row r="321" spans="1:18" ht="23" x14ac:dyDescent="0.35">
      <c r="A321" s="216" t="s">
        <v>2825</v>
      </c>
      <c r="B321" s="216" t="s">
        <v>297</v>
      </c>
      <c r="C321" s="216" t="s">
        <v>313</v>
      </c>
      <c r="D321" s="216" t="s">
        <v>183</v>
      </c>
      <c r="E321" s="216" t="s">
        <v>159</v>
      </c>
      <c r="F321" s="216" t="s">
        <v>184</v>
      </c>
      <c r="G321" s="216" t="s">
        <v>177</v>
      </c>
      <c r="H321" s="216" t="s">
        <v>197</v>
      </c>
      <c r="K321" s="216">
        <v>3500</v>
      </c>
      <c r="M321" s="216" t="s">
        <v>178</v>
      </c>
      <c r="N321" s="230">
        <v>2</v>
      </c>
      <c r="P321" s="236">
        <v>1</v>
      </c>
    </row>
    <row r="322" spans="1:18" ht="23" x14ac:dyDescent="0.35">
      <c r="A322" s="216" t="s">
        <v>2825</v>
      </c>
      <c r="B322" s="216" t="s">
        <v>297</v>
      </c>
      <c r="C322" s="216" t="s">
        <v>320</v>
      </c>
      <c r="D322" s="216" t="s">
        <v>183</v>
      </c>
      <c r="E322" s="216" t="s">
        <v>159</v>
      </c>
      <c r="F322" s="216" t="s">
        <v>184</v>
      </c>
      <c r="G322" s="216" t="s">
        <v>168</v>
      </c>
      <c r="H322" s="216" t="s">
        <v>197</v>
      </c>
      <c r="K322" s="216">
        <v>4000</v>
      </c>
      <c r="Q322" s="216" t="s">
        <v>192</v>
      </c>
      <c r="R322" s="216" t="s">
        <v>2644</v>
      </c>
    </row>
    <row r="323" spans="1:18" ht="23" x14ac:dyDescent="0.35">
      <c r="A323" s="216" t="s">
        <v>2825</v>
      </c>
      <c r="B323" s="216" t="s">
        <v>297</v>
      </c>
      <c r="C323" s="216" t="s">
        <v>301</v>
      </c>
      <c r="D323" s="216" t="s">
        <v>183</v>
      </c>
      <c r="E323" s="216" t="s">
        <v>159</v>
      </c>
      <c r="F323" s="216" t="s">
        <v>30</v>
      </c>
      <c r="G323" s="216" t="s">
        <v>244</v>
      </c>
      <c r="H323" s="216" t="s">
        <v>640</v>
      </c>
      <c r="I323" s="216" t="s">
        <v>186</v>
      </c>
      <c r="J323" s="216" t="s">
        <v>643</v>
      </c>
      <c r="K323" s="216">
        <v>3500</v>
      </c>
      <c r="M323" s="216" t="s">
        <v>202</v>
      </c>
      <c r="Q323" s="216" t="s">
        <v>21</v>
      </c>
      <c r="R323" s="216" t="s">
        <v>2964</v>
      </c>
    </row>
    <row r="324" spans="1:18" ht="23" x14ac:dyDescent="0.35">
      <c r="A324" s="216" t="s">
        <v>2825</v>
      </c>
      <c r="B324" s="216" t="s">
        <v>297</v>
      </c>
      <c r="C324" s="216" t="s">
        <v>298</v>
      </c>
      <c r="D324" s="216" t="s">
        <v>183</v>
      </c>
      <c r="F324" s="216" t="s">
        <v>30</v>
      </c>
      <c r="G324" s="216" t="s">
        <v>217</v>
      </c>
      <c r="H324" s="216" t="s">
        <v>641</v>
      </c>
      <c r="I324" s="216" t="s">
        <v>299</v>
      </c>
      <c r="J324" s="216" t="s">
        <v>642</v>
      </c>
      <c r="K324" s="216">
        <v>4000</v>
      </c>
      <c r="P324" s="236">
        <v>2</v>
      </c>
    </row>
    <row r="325" spans="1:18" ht="23" x14ac:dyDescent="0.35">
      <c r="A325" s="216" t="s">
        <v>2825</v>
      </c>
      <c r="B325" s="216" t="s">
        <v>297</v>
      </c>
      <c r="C325" s="216" t="s">
        <v>314</v>
      </c>
      <c r="D325" s="216" t="s">
        <v>183</v>
      </c>
      <c r="E325" s="216" t="s">
        <v>159</v>
      </c>
      <c r="F325" s="216" t="s">
        <v>184</v>
      </c>
      <c r="G325" s="216" t="s">
        <v>263</v>
      </c>
      <c r="H325" s="216" t="s">
        <v>197</v>
      </c>
      <c r="K325" s="216">
        <v>3500</v>
      </c>
      <c r="N325" s="230">
        <v>1</v>
      </c>
      <c r="O325" s="233">
        <v>1</v>
      </c>
      <c r="P325" s="236">
        <v>1</v>
      </c>
    </row>
    <row r="326" spans="1:18" ht="23" x14ac:dyDescent="0.35">
      <c r="A326" s="216" t="s">
        <v>2825</v>
      </c>
      <c r="B326" s="216" t="s">
        <v>297</v>
      </c>
      <c r="C326" s="216" t="s">
        <v>326</v>
      </c>
      <c r="D326" s="216" t="s">
        <v>183</v>
      </c>
      <c r="F326" s="216" t="s">
        <v>184</v>
      </c>
      <c r="G326" s="216" t="s">
        <v>161</v>
      </c>
      <c r="H326" s="216" t="s">
        <v>324</v>
      </c>
      <c r="K326" s="216">
        <v>6000</v>
      </c>
      <c r="Q326" s="216" t="s">
        <v>327</v>
      </c>
      <c r="R326" s="216" t="s">
        <v>2394</v>
      </c>
    </row>
    <row r="327" spans="1:18" ht="23" x14ac:dyDescent="0.35">
      <c r="A327" s="216" t="s">
        <v>2825</v>
      </c>
      <c r="B327" s="216" t="s">
        <v>297</v>
      </c>
      <c r="C327" s="216" t="s">
        <v>319</v>
      </c>
      <c r="D327" s="216" t="s">
        <v>183</v>
      </c>
      <c r="F327" s="216" t="s">
        <v>184</v>
      </c>
      <c r="G327" s="216" t="s">
        <v>166</v>
      </c>
      <c r="H327" s="216" t="s">
        <v>197</v>
      </c>
      <c r="K327" s="216">
        <v>4000</v>
      </c>
      <c r="M327" s="216" t="s">
        <v>182</v>
      </c>
      <c r="O327" s="233">
        <v>1</v>
      </c>
      <c r="P327" s="236">
        <v>2</v>
      </c>
      <c r="Q327" s="216" t="s">
        <v>1900</v>
      </c>
    </row>
    <row r="328" spans="1:18" ht="23" x14ac:dyDescent="0.35">
      <c r="A328" s="216" t="s">
        <v>2825</v>
      </c>
      <c r="B328" s="216" t="s">
        <v>297</v>
      </c>
      <c r="C328" s="216" t="s">
        <v>316</v>
      </c>
      <c r="D328" s="216" t="s">
        <v>183</v>
      </c>
      <c r="E328" s="216" t="s">
        <v>159</v>
      </c>
      <c r="F328" s="216" t="s">
        <v>184</v>
      </c>
      <c r="G328" s="216" t="s">
        <v>207</v>
      </c>
      <c r="H328" s="216" t="s">
        <v>197</v>
      </c>
      <c r="K328" s="216">
        <v>4000</v>
      </c>
      <c r="Q328" s="216" t="s">
        <v>1909</v>
      </c>
    </row>
    <row r="329" spans="1:18" ht="23" x14ac:dyDescent="0.35">
      <c r="A329" s="216" t="s">
        <v>2825</v>
      </c>
      <c r="B329" s="216" t="s">
        <v>297</v>
      </c>
      <c r="C329" s="216" t="s">
        <v>325</v>
      </c>
      <c r="D329" s="216" t="s">
        <v>183</v>
      </c>
      <c r="E329" s="216" t="s">
        <v>159</v>
      </c>
      <c r="F329" s="216" t="s">
        <v>184</v>
      </c>
      <c r="G329" s="216" t="s">
        <v>220</v>
      </c>
      <c r="H329" s="216" t="s">
        <v>324</v>
      </c>
      <c r="K329" s="216">
        <v>4500</v>
      </c>
      <c r="M329" s="216" t="s">
        <v>178</v>
      </c>
      <c r="N329" s="230">
        <v>1</v>
      </c>
      <c r="O329" s="233">
        <v>1</v>
      </c>
      <c r="P329" s="236">
        <v>1</v>
      </c>
      <c r="Q329" s="216" t="s">
        <v>1902</v>
      </c>
    </row>
    <row r="330" spans="1:18" ht="23" x14ac:dyDescent="0.35">
      <c r="A330" s="216" t="s">
        <v>2825</v>
      </c>
      <c r="B330" s="216" t="s">
        <v>297</v>
      </c>
      <c r="C330" s="216" t="s">
        <v>302</v>
      </c>
      <c r="D330" s="216" t="s">
        <v>183</v>
      </c>
      <c r="E330" s="216" t="s">
        <v>159</v>
      </c>
      <c r="F330" s="216" t="s">
        <v>30</v>
      </c>
      <c r="G330" s="216" t="s">
        <v>189</v>
      </c>
      <c r="H330" s="216" t="s">
        <v>642</v>
      </c>
      <c r="I330" s="216" t="s">
        <v>180</v>
      </c>
      <c r="J330" s="216" t="s">
        <v>639</v>
      </c>
      <c r="K330" s="216">
        <v>3500</v>
      </c>
      <c r="M330" s="216" t="s">
        <v>202</v>
      </c>
      <c r="O330" s="233">
        <v>2</v>
      </c>
    </row>
    <row r="331" spans="1:18" ht="23" x14ac:dyDescent="0.35">
      <c r="A331" s="216" t="s">
        <v>2825</v>
      </c>
      <c r="B331" s="216" t="s">
        <v>297</v>
      </c>
      <c r="C331" s="216" t="s">
        <v>311</v>
      </c>
      <c r="D331" s="216" t="s">
        <v>183</v>
      </c>
      <c r="F331" s="216" t="s">
        <v>184</v>
      </c>
      <c r="G331" s="216" t="s">
        <v>299</v>
      </c>
      <c r="H331" s="216" t="s">
        <v>187</v>
      </c>
      <c r="K331" s="216" t="s">
        <v>308</v>
      </c>
      <c r="O331" s="233">
        <v>2</v>
      </c>
      <c r="P331" s="236">
        <v>2</v>
      </c>
      <c r="Q331" s="216" t="s">
        <v>310</v>
      </c>
    </row>
    <row r="332" spans="1:18" ht="23" x14ac:dyDescent="0.35">
      <c r="A332" s="216" t="s">
        <v>2057</v>
      </c>
      <c r="B332" s="216" t="s">
        <v>297</v>
      </c>
      <c r="C332" s="216" t="s">
        <v>634</v>
      </c>
      <c r="D332" s="216" t="s">
        <v>183</v>
      </c>
      <c r="E332" s="216" t="s">
        <v>159</v>
      </c>
      <c r="F332" s="216" t="s">
        <v>30</v>
      </c>
      <c r="G332" s="216" t="s">
        <v>251</v>
      </c>
      <c r="H332" s="216" t="s">
        <v>641</v>
      </c>
      <c r="I332" s="216" t="s">
        <v>162</v>
      </c>
      <c r="J332" s="216" t="s">
        <v>642</v>
      </c>
      <c r="K332" s="216">
        <v>2000</v>
      </c>
      <c r="L332" s="216" t="s">
        <v>608</v>
      </c>
      <c r="N332" s="263"/>
      <c r="O332" s="263"/>
      <c r="P332" s="263"/>
      <c r="Q332" s="216" t="s">
        <v>1902</v>
      </c>
    </row>
    <row r="333" spans="1:18" ht="23" x14ac:dyDescent="0.35">
      <c r="A333" s="216" t="s">
        <v>2057</v>
      </c>
      <c r="B333" s="216" t="s">
        <v>297</v>
      </c>
      <c r="C333" s="216" t="s">
        <v>637</v>
      </c>
      <c r="D333" s="216" t="s">
        <v>183</v>
      </c>
      <c r="F333" s="216" t="s">
        <v>184</v>
      </c>
      <c r="G333" s="216" t="s">
        <v>515</v>
      </c>
      <c r="H333" s="216" t="s">
        <v>324</v>
      </c>
      <c r="K333" s="216">
        <v>2000</v>
      </c>
      <c r="L333" s="216" t="s">
        <v>613</v>
      </c>
      <c r="N333" s="263"/>
      <c r="O333" s="263"/>
      <c r="P333" s="263"/>
      <c r="Q333" s="216" t="s">
        <v>1907</v>
      </c>
    </row>
    <row r="334" spans="1:18" ht="23" x14ac:dyDescent="0.35">
      <c r="A334" s="216" t="s">
        <v>2057</v>
      </c>
      <c r="B334" s="216" t="s">
        <v>297</v>
      </c>
      <c r="C334" s="216" t="s">
        <v>635</v>
      </c>
      <c r="D334" s="216" t="s">
        <v>183</v>
      </c>
      <c r="E334" s="216" t="s">
        <v>159</v>
      </c>
      <c r="F334" s="216" t="s">
        <v>184</v>
      </c>
      <c r="G334" s="216" t="s">
        <v>283</v>
      </c>
      <c r="H334" s="216" t="s">
        <v>197</v>
      </c>
      <c r="K334" s="216">
        <v>300</v>
      </c>
      <c r="L334" s="216" t="s">
        <v>609</v>
      </c>
      <c r="M334" s="216" t="s">
        <v>178</v>
      </c>
      <c r="N334" s="263">
        <v>2</v>
      </c>
      <c r="O334" s="263"/>
      <c r="P334" s="263"/>
      <c r="Q334" s="216" t="s">
        <v>1901</v>
      </c>
    </row>
    <row r="335" spans="1:18" ht="23" x14ac:dyDescent="0.35">
      <c r="A335" s="216" t="s">
        <v>2057</v>
      </c>
      <c r="B335" s="216" t="s">
        <v>297</v>
      </c>
      <c r="C335" s="216" t="s">
        <v>636</v>
      </c>
      <c r="D335" s="216" t="s">
        <v>183</v>
      </c>
      <c r="F335" s="216" t="s">
        <v>184</v>
      </c>
      <c r="G335" s="216" t="s">
        <v>233</v>
      </c>
      <c r="H335" s="216" t="s">
        <v>324</v>
      </c>
      <c r="K335" s="216">
        <v>2000</v>
      </c>
      <c r="L335" s="216" t="s">
        <v>615</v>
      </c>
      <c r="M335" s="216" t="s">
        <v>850</v>
      </c>
      <c r="N335" s="263"/>
      <c r="O335" s="263"/>
      <c r="P335" s="263">
        <v>2</v>
      </c>
      <c r="Q335" s="216" t="s">
        <v>1900</v>
      </c>
    </row>
    <row r="336" spans="1:18" ht="23" x14ac:dyDescent="0.35">
      <c r="A336" s="216" t="s">
        <v>2057</v>
      </c>
      <c r="B336" s="216" t="s">
        <v>297</v>
      </c>
      <c r="C336" s="216" t="s">
        <v>632</v>
      </c>
      <c r="D336" s="216" t="s">
        <v>183</v>
      </c>
      <c r="E336" s="216" t="s">
        <v>159</v>
      </c>
      <c r="F336" s="216" t="s">
        <v>30</v>
      </c>
      <c r="G336" s="216" t="s">
        <v>162</v>
      </c>
      <c r="H336" s="216" t="s">
        <v>648</v>
      </c>
      <c r="I336" s="216" t="s">
        <v>237</v>
      </c>
      <c r="J336" s="216" t="s">
        <v>649</v>
      </c>
      <c r="K336" s="216">
        <v>400</v>
      </c>
      <c r="L336" s="216" t="s">
        <v>633</v>
      </c>
      <c r="N336" s="263"/>
      <c r="O336" s="263"/>
      <c r="P336" s="263"/>
      <c r="Q336" s="216" t="s">
        <v>1910</v>
      </c>
    </row>
    <row r="337" spans="1:18" ht="23" x14ac:dyDescent="0.35">
      <c r="A337" s="216" t="s">
        <v>2058</v>
      </c>
      <c r="B337" s="216" t="s">
        <v>297</v>
      </c>
      <c r="C337" s="216" t="s">
        <v>688</v>
      </c>
      <c r="D337" s="216" t="s">
        <v>183</v>
      </c>
      <c r="E337" s="216" t="s">
        <v>663</v>
      </c>
      <c r="F337" s="216" t="s">
        <v>664</v>
      </c>
      <c r="G337" s="216" t="s">
        <v>686</v>
      </c>
      <c r="H337" s="216" t="s">
        <v>687</v>
      </c>
      <c r="K337" s="216" t="s">
        <v>669</v>
      </c>
      <c r="N337" s="263"/>
      <c r="O337" s="263"/>
      <c r="P337" s="263"/>
      <c r="Q337" s="216" t="s">
        <v>2517</v>
      </c>
      <c r="R337" s="216" t="s">
        <v>2518</v>
      </c>
    </row>
    <row r="338" spans="1:18" ht="23" x14ac:dyDescent="0.35">
      <c r="A338" s="216" t="s">
        <v>2058</v>
      </c>
      <c r="B338" s="216" t="s">
        <v>297</v>
      </c>
      <c r="C338" s="216" t="s">
        <v>688</v>
      </c>
      <c r="D338" s="216" t="s">
        <v>183</v>
      </c>
      <c r="E338" s="216" t="s">
        <v>663</v>
      </c>
      <c r="F338" s="216" t="s">
        <v>664</v>
      </c>
      <c r="G338" s="216" t="s">
        <v>686</v>
      </c>
      <c r="H338" s="216" t="s">
        <v>687</v>
      </c>
      <c r="K338" s="216" t="s">
        <v>669</v>
      </c>
      <c r="N338" s="263"/>
      <c r="O338" s="263"/>
      <c r="P338" s="263"/>
      <c r="Q338" s="216" t="s">
        <v>2517</v>
      </c>
      <c r="R338" s="216" t="s">
        <v>2518</v>
      </c>
    </row>
    <row r="339" spans="1:18" ht="23" x14ac:dyDescent="0.35">
      <c r="A339" s="216" t="s">
        <v>2058</v>
      </c>
      <c r="B339" s="216" t="s">
        <v>297</v>
      </c>
      <c r="C339" s="216" t="s">
        <v>688</v>
      </c>
      <c r="D339" s="216" t="s">
        <v>183</v>
      </c>
      <c r="E339" s="216" t="s">
        <v>663</v>
      </c>
      <c r="F339" s="216" t="s">
        <v>664</v>
      </c>
      <c r="G339" s="216" t="s">
        <v>686</v>
      </c>
      <c r="H339" s="216" t="s">
        <v>687</v>
      </c>
      <c r="K339" s="216" t="s">
        <v>669</v>
      </c>
      <c r="N339" s="263"/>
      <c r="O339" s="263"/>
      <c r="P339" s="263"/>
      <c r="Q339" s="216" t="s">
        <v>2517</v>
      </c>
      <c r="R339" s="216" t="s">
        <v>2518</v>
      </c>
    </row>
    <row r="340" spans="1:18" ht="23" x14ac:dyDescent="0.35">
      <c r="A340" s="216" t="s">
        <v>2058</v>
      </c>
      <c r="B340" s="216" t="s">
        <v>297</v>
      </c>
      <c r="C340" s="216" t="s">
        <v>688</v>
      </c>
      <c r="D340" s="216" t="s">
        <v>183</v>
      </c>
      <c r="E340" s="216" t="s">
        <v>663</v>
      </c>
      <c r="F340" s="216" t="s">
        <v>664</v>
      </c>
      <c r="G340" s="216" t="s">
        <v>686</v>
      </c>
      <c r="H340" s="216" t="s">
        <v>687</v>
      </c>
      <c r="K340" s="216" t="s">
        <v>669</v>
      </c>
      <c r="N340" s="263"/>
      <c r="O340" s="263"/>
      <c r="P340" s="263"/>
      <c r="Q340" s="216" t="s">
        <v>2517</v>
      </c>
      <c r="R340" s="216" t="s">
        <v>2518</v>
      </c>
    </row>
    <row r="341" spans="1:18" ht="23" x14ac:dyDescent="0.35">
      <c r="A341" s="216" t="s">
        <v>2058</v>
      </c>
      <c r="B341" s="216" t="s">
        <v>297</v>
      </c>
      <c r="C341" s="216" t="s">
        <v>688</v>
      </c>
      <c r="D341" s="216" t="s">
        <v>183</v>
      </c>
      <c r="E341" s="216" t="s">
        <v>663</v>
      </c>
      <c r="F341" s="216" t="s">
        <v>664</v>
      </c>
      <c r="G341" s="216" t="s">
        <v>686</v>
      </c>
      <c r="H341" s="216" t="s">
        <v>687</v>
      </c>
      <c r="K341" s="216" t="s">
        <v>669</v>
      </c>
      <c r="N341" s="263"/>
      <c r="O341" s="263"/>
      <c r="P341" s="263"/>
      <c r="Q341" s="216" t="s">
        <v>2517</v>
      </c>
      <c r="R341" s="216" t="s">
        <v>2518</v>
      </c>
    </row>
    <row r="342" spans="1:18" ht="23" x14ac:dyDescent="0.35">
      <c r="A342" s="216" t="s">
        <v>2056</v>
      </c>
      <c r="B342" s="216" t="s">
        <v>297</v>
      </c>
      <c r="C342" s="216" t="s">
        <v>859</v>
      </c>
      <c r="D342" s="216" t="s">
        <v>183</v>
      </c>
      <c r="F342" s="216" t="s">
        <v>184</v>
      </c>
      <c r="G342" s="216" t="s">
        <v>831</v>
      </c>
      <c r="H342" s="216" t="s">
        <v>197</v>
      </c>
      <c r="K342" s="216">
        <v>5000</v>
      </c>
      <c r="N342" s="263"/>
      <c r="O342" s="263"/>
      <c r="P342" s="263"/>
      <c r="Q342" s="216" t="s">
        <v>327</v>
      </c>
      <c r="R342" s="216" t="s">
        <v>2394</v>
      </c>
    </row>
    <row r="343" spans="1:18" ht="23" x14ac:dyDescent="0.35">
      <c r="A343" s="216" t="s">
        <v>2056</v>
      </c>
      <c r="B343" s="216" t="s">
        <v>297</v>
      </c>
      <c r="C343" s="216" t="s">
        <v>864</v>
      </c>
      <c r="D343" s="216" t="s">
        <v>183</v>
      </c>
      <c r="F343" s="216" t="s">
        <v>210</v>
      </c>
      <c r="G343" s="216" t="s">
        <v>253</v>
      </c>
      <c r="H343" s="216" t="s">
        <v>865</v>
      </c>
      <c r="I343" s="216" t="s">
        <v>841</v>
      </c>
      <c r="J343" s="216" t="s">
        <v>842</v>
      </c>
      <c r="K343" s="216">
        <v>4000</v>
      </c>
      <c r="N343" s="263"/>
      <c r="O343" s="263"/>
      <c r="P343" s="263"/>
      <c r="Q343" s="216" t="s">
        <v>843</v>
      </c>
      <c r="R343" s="216" t="s">
        <v>2392</v>
      </c>
    </row>
    <row r="344" spans="1:18" ht="23" x14ac:dyDescent="0.35">
      <c r="A344" s="216" t="s">
        <v>2056</v>
      </c>
      <c r="B344" s="216" t="s">
        <v>297</v>
      </c>
      <c r="C344" s="216" t="s">
        <v>862</v>
      </c>
      <c r="D344" s="216" t="s">
        <v>183</v>
      </c>
      <c r="F344" s="216" t="s">
        <v>210</v>
      </c>
      <c r="G344" s="216" t="s">
        <v>834</v>
      </c>
      <c r="H344" s="216" t="s">
        <v>863</v>
      </c>
      <c r="I344" s="216" t="s">
        <v>162</v>
      </c>
      <c r="J344" s="216" t="s">
        <v>865</v>
      </c>
      <c r="K344" s="216">
        <v>2000</v>
      </c>
      <c r="N344" s="263"/>
      <c r="O344" s="263"/>
      <c r="P344" s="263"/>
      <c r="Q344" s="216" t="s">
        <v>1909</v>
      </c>
    </row>
    <row r="345" spans="1:18" ht="23" x14ac:dyDescent="0.35">
      <c r="A345" s="216" t="s">
        <v>2056</v>
      </c>
      <c r="B345" s="216" t="s">
        <v>297</v>
      </c>
      <c r="C345" s="216" t="s">
        <v>860</v>
      </c>
      <c r="D345" s="216" t="s">
        <v>183</v>
      </c>
      <c r="E345" s="216" t="s">
        <v>159</v>
      </c>
      <c r="F345" s="216" t="s">
        <v>210</v>
      </c>
      <c r="G345" s="216" t="s">
        <v>162</v>
      </c>
      <c r="H345" s="216" t="s">
        <v>647</v>
      </c>
      <c r="I345" s="216" t="s">
        <v>849</v>
      </c>
      <c r="J345" s="216" t="s">
        <v>861</v>
      </c>
      <c r="K345" s="216">
        <v>3500</v>
      </c>
      <c r="N345" s="263"/>
      <c r="O345" s="263"/>
      <c r="P345" s="263"/>
      <c r="Q345" s="216" t="s">
        <v>21</v>
      </c>
      <c r="R345" s="216" t="s">
        <v>2964</v>
      </c>
    </row>
    <row r="346" spans="1:18" ht="23" x14ac:dyDescent="0.35">
      <c r="A346" s="216" t="s">
        <v>2056</v>
      </c>
      <c r="B346" s="216" t="s">
        <v>297</v>
      </c>
      <c r="C346" s="216" t="s">
        <v>866</v>
      </c>
      <c r="D346" s="216" t="s">
        <v>183</v>
      </c>
      <c r="E346" s="216" t="s">
        <v>159</v>
      </c>
      <c r="F346" s="216" t="s">
        <v>184</v>
      </c>
      <c r="G346" s="216" t="s">
        <v>838</v>
      </c>
      <c r="H346" s="216" t="s">
        <v>197</v>
      </c>
      <c r="K346" s="216" t="s">
        <v>308</v>
      </c>
      <c r="L346" s="216" t="s">
        <v>867</v>
      </c>
      <c r="N346" s="263"/>
      <c r="O346" s="263">
        <v>3</v>
      </c>
      <c r="P346" s="263"/>
      <c r="Q346" s="216" t="s">
        <v>1904</v>
      </c>
    </row>
    <row r="347" spans="1:18" ht="23" x14ac:dyDescent="0.35">
      <c r="A347" s="216" t="s">
        <v>2055</v>
      </c>
      <c r="B347" s="216" t="s">
        <v>297</v>
      </c>
      <c r="C347" s="216" t="s">
        <v>1692</v>
      </c>
      <c r="D347" s="216" t="s">
        <v>183</v>
      </c>
      <c r="E347" s="216" t="s">
        <v>159</v>
      </c>
      <c r="F347" s="216" t="s">
        <v>184</v>
      </c>
      <c r="G347" s="216" t="s">
        <v>1679</v>
      </c>
      <c r="H347" s="216" t="s">
        <v>324</v>
      </c>
      <c r="K347" s="216">
        <v>4000</v>
      </c>
      <c r="M347" s="216" t="s">
        <v>178</v>
      </c>
      <c r="N347" s="263"/>
      <c r="O347" s="263"/>
      <c r="P347" s="263"/>
      <c r="Q347" s="216" t="s">
        <v>1905</v>
      </c>
    </row>
    <row r="348" spans="1:18" ht="23" x14ac:dyDescent="0.35">
      <c r="A348" s="216" t="s">
        <v>2055</v>
      </c>
      <c r="B348" s="216" t="s">
        <v>297</v>
      </c>
      <c r="C348" s="216" t="s">
        <v>1685</v>
      </c>
      <c r="D348" s="216" t="s">
        <v>183</v>
      </c>
      <c r="F348" s="216" t="s">
        <v>1660</v>
      </c>
      <c r="G348" s="216" t="s">
        <v>1593</v>
      </c>
      <c r="H348" s="216" t="s">
        <v>1688</v>
      </c>
      <c r="I348" s="216" t="s">
        <v>162</v>
      </c>
      <c r="J348" s="216" t="s">
        <v>1690</v>
      </c>
      <c r="K348" s="216">
        <v>3000</v>
      </c>
      <c r="N348" s="263"/>
      <c r="O348" s="263"/>
      <c r="P348" s="263"/>
      <c r="Q348" s="216" t="s">
        <v>1652</v>
      </c>
      <c r="R348" s="216" t="s">
        <v>2536</v>
      </c>
    </row>
    <row r="349" spans="1:18" ht="23" x14ac:dyDescent="0.35">
      <c r="A349" s="216" t="s">
        <v>2055</v>
      </c>
      <c r="B349" s="216" t="s">
        <v>297</v>
      </c>
      <c r="C349" s="216" t="s">
        <v>1686</v>
      </c>
      <c r="D349" s="216" t="s">
        <v>183</v>
      </c>
      <c r="E349" s="216" t="s">
        <v>159</v>
      </c>
      <c r="F349" s="216" t="s">
        <v>184</v>
      </c>
      <c r="G349" s="216" t="s">
        <v>1679</v>
      </c>
      <c r="H349" s="216" t="s">
        <v>1689</v>
      </c>
      <c r="K349" s="216">
        <v>4000</v>
      </c>
      <c r="M349" s="216" t="s">
        <v>178</v>
      </c>
      <c r="N349" s="263"/>
      <c r="O349" s="263"/>
      <c r="P349" s="263"/>
      <c r="Q349" s="216" t="s">
        <v>1908</v>
      </c>
    </row>
    <row r="350" spans="1:18" ht="23" x14ac:dyDescent="0.35">
      <c r="A350" s="216" t="s">
        <v>2055</v>
      </c>
      <c r="B350" s="216" t="s">
        <v>297</v>
      </c>
      <c r="C350" s="216" t="s">
        <v>1687</v>
      </c>
      <c r="D350" s="216" t="s">
        <v>183</v>
      </c>
      <c r="F350" s="216" t="s">
        <v>184</v>
      </c>
      <c r="G350" s="216" t="s">
        <v>1632</v>
      </c>
      <c r="H350" s="216" t="s">
        <v>324</v>
      </c>
      <c r="K350" s="216">
        <v>6000</v>
      </c>
      <c r="N350" s="263"/>
      <c r="O350" s="263"/>
      <c r="P350" s="263"/>
      <c r="Q350" s="216" t="s">
        <v>327</v>
      </c>
      <c r="R350" s="216" t="s">
        <v>2394</v>
      </c>
    </row>
    <row r="351" spans="1:18" ht="23" x14ac:dyDescent="0.35">
      <c r="A351" s="216" t="s">
        <v>2055</v>
      </c>
      <c r="B351" s="216" t="s">
        <v>297</v>
      </c>
      <c r="C351" s="216" t="s">
        <v>1691</v>
      </c>
      <c r="D351" s="216" t="s">
        <v>183</v>
      </c>
      <c r="F351" s="216" t="s">
        <v>184</v>
      </c>
      <c r="G351" s="216" t="s">
        <v>1651</v>
      </c>
      <c r="H351" s="216" t="s">
        <v>324</v>
      </c>
      <c r="K351" s="216">
        <v>4000</v>
      </c>
      <c r="M351" s="216" t="s">
        <v>1693</v>
      </c>
      <c r="N351" s="263"/>
      <c r="O351" s="263"/>
      <c r="P351" s="263"/>
      <c r="Q351" s="216" t="s">
        <v>1694</v>
      </c>
      <c r="R351" s="216" t="s">
        <v>2396</v>
      </c>
    </row>
    <row r="352" spans="1:18" ht="23" x14ac:dyDescent="0.35">
      <c r="A352" s="216" t="s">
        <v>2825</v>
      </c>
      <c r="B352" s="216" t="s">
        <v>254</v>
      </c>
      <c r="C352" s="216" t="s">
        <v>267</v>
      </c>
      <c r="D352" s="216" t="s">
        <v>183</v>
      </c>
      <c r="F352" s="216" t="s">
        <v>184</v>
      </c>
      <c r="G352" s="216" t="s">
        <v>253</v>
      </c>
      <c r="H352" s="216" t="s">
        <v>197</v>
      </c>
      <c r="K352" s="216">
        <v>2800</v>
      </c>
      <c r="M352" s="216" t="s">
        <v>178</v>
      </c>
      <c r="N352" s="230">
        <v>2</v>
      </c>
      <c r="O352" s="233">
        <v>1</v>
      </c>
    </row>
    <row r="353" spans="1:18" ht="23" x14ac:dyDescent="0.35">
      <c r="A353" s="216" t="s">
        <v>2825</v>
      </c>
      <c r="B353" s="216" t="s">
        <v>254</v>
      </c>
      <c r="C353" s="216" t="s">
        <v>260</v>
      </c>
      <c r="D353" s="216" t="s">
        <v>159</v>
      </c>
      <c r="F353" s="216" t="s">
        <v>160</v>
      </c>
      <c r="G353" s="216" t="s">
        <v>200</v>
      </c>
      <c r="H353" s="216" t="s">
        <v>224</v>
      </c>
      <c r="I353" s="216" t="s">
        <v>233</v>
      </c>
      <c r="J353" s="216" t="s">
        <v>224</v>
      </c>
      <c r="K353" s="216">
        <v>1800</v>
      </c>
      <c r="M353" s="216" t="s">
        <v>182</v>
      </c>
      <c r="N353" s="230">
        <v>2</v>
      </c>
    </row>
    <row r="354" spans="1:18" ht="23" x14ac:dyDescent="0.35">
      <c r="A354" s="216" t="s">
        <v>2825</v>
      </c>
      <c r="B354" s="216" t="s">
        <v>254</v>
      </c>
      <c r="C354" s="216" t="s">
        <v>260</v>
      </c>
      <c r="D354" s="216" t="s">
        <v>159</v>
      </c>
      <c r="F354" s="216" t="s">
        <v>160</v>
      </c>
      <c r="G354" s="216" t="s">
        <v>170</v>
      </c>
      <c r="H354" s="216" t="s">
        <v>224</v>
      </c>
      <c r="I354" s="216" t="s">
        <v>180</v>
      </c>
      <c r="J354" s="216" t="s">
        <v>224</v>
      </c>
      <c r="K354" s="216">
        <v>1600</v>
      </c>
      <c r="M354" s="216" t="s">
        <v>182</v>
      </c>
      <c r="N354" s="230">
        <v>2</v>
      </c>
    </row>
    <row r="355" spans="1:18" ht="23" x14ac:dyDescent="0.35">
      <c r="A355" s="216" t="s">
        <v>2825</v>
      </c>
      <c r="B355" s="216" t="s">
        <v>254</v>
      </c>
      <c r="C355" s="216" t="s">
        <v>266</v>
      </c>
      <c r="D355" s="216" t="s">
        <v>183</v>
      </c>
      <c r="F355" s="216" t="s">
        <v>184</v>
      </c>
      <c r="G355" s="216" t="s">
        <v>252</v>
      </c>
      <c r="H355" s="216" t="s">
        <v>187</v>
      </c>
      <c r="K355" s="216">
        <v>2400</v>
      </c>
      <c r="M355" s="216" t="s">
        <v>178</v>
      </c>
      <c r="N355" s="230">
        <v>2</v>
      </c>
      <c r="Q355" s="216" t="s">
        <v>1902</v>
      </c>
    </row>
    <row r="356" spans="1:18" ht="23" x14ac:dyDescent="0.35">
      <c r="A356" s="216" t="s">
        <v>2825</v>
      </c>
      <c r="B356" s="216" t="s">
        <v>254</v>
      </c>
      <c r="C356" s="216" t="s">
        <v>266</v>
      </c>
      <c r="D356" s="216" t="s">
        <v>183</v>
      </c>
      <c r="F356" s="216" t="s">
        <v>184</v>
      </c>
      <c r="G356" s="216" t="s">
        <v>169</v>
      </c>
      <c r="H356" s="216" t="s">
        <v>187</v>
      </c>
      <c r="K356" s="216">
        <v>2000</v>
      </c>
      <c r="M356" s="216" t="s">
        <v>178</v>
      </c>
      <c r="N356" s="230">
        <v>2</v>
      </c>
      <c r="Q356" s="216" t="s">
        <v>1902</v>
      </c>
    </row>
    <row r="357" spans="1:18" ht="23" x14ac:dyDescent="0.35">
      <c r="A357" s="216" t="s">
        <v>2825</v>
      </c>
      <c r="B357" s="216" t="s">
        <v>254</v>
      </c>
      <c r="C357" s="216" t="s">
        <v>274</v>
      </c>
      <c r="D357" s="216" t="s">
        <v>159</v>
      </c>
      <c r="F357" s="216" t="s">
        <v>160</v>
      </c>
      <c r="G357" s="216" t="s">
        <v>244</v>
      </c>
      <c r="H357" s="216" t="s">
        <v>163</v>
      </c>
      <c r="I357" s="216" t="s">
        <v>167</v>
      </c>
      <c r="J357" s="216" t="s">
        <v>163</v>
      </c>
      <c r="K357" s="216">
        <v>1500</v>
      </c>
      <c r="N357" s="230">
        <v>2</v>
      </c>
    </row>
    <row r="358" spans="1:18" ht="23" x14ac:dyDescent="0.35">
      <c r="A358" s="216" t="s">
        <v>2825</v>
      </c>
      <c r="B358" s="216" t="s">
        <v>254</v>
      </c>
      <c r="C358" s="216" t="s">
        <v>274</v>
      </c>
      <c r="D358" s="216" t="s">
        <v>159</v>
      </c>
      <c r="F358" s="216" t="s">
        <v>160</v>
      </c>
      <c r="G358" s="216" t="s">
        <v>169</v>
      </c>
      <c r="H358" s="216" t="s">
        <v>163</v>
      </c>
      <c r="I358" s="216" t="s">
        <v>167</v>
      </c>
      <c r="J358" s="216" t="s">
        <v>163</v>
      </c>
      <c r="K358" s="216">
        <v>1500</v>
      </c>
      <c r="N358" s="230">
        <v>2</v>
      </c>
    </row>
    <row r="359" spans="1:18" ht="23" x14ac:dyDescent="0.35">
      <c r="A359" s="216" t="s">
        <v>2825</v>
      </c>
      <c r="B359" s="216" t="s">
        <v>254</v>
      </c>
      <c r="C359" s="216" t="s">
        <v>257</v>
      </c>
      <c r="D359" s="216" t="s">
        <v>159</v>
      </c>
      <c r="F359" s="216" t="s">
        <v>160</v>
      </c>
      <c r="G359" s="216" t="s">
        <v>167</v>
      </c>
      <c r="H359" s="216" t="s">
        <v>258</v>
      </c>
      <c r="I359" s="216" t="s">
        <v>170</v>
      </c>
      <c r="J359" s="216" t="s">
        <v>258</v>
      </c>
      <c r="K359" s="216">
        <v>1600</v>
      </c>
      <c r="N359" s="230">
        <v>2</v>
      </c>
      <c r="P359" s="236">
        <v>1</v>
      </c>
    </row>
    <row r="360" spans="1:18" ht="23" x14ac:dyDescent="0.35">
      <c r="A360" s="216" t="s">
        <v>2825</v>
      </c>
      <c r="B360" s="216" t="s">
        <v>254</v>
      </c>
      <c r="C360" s="216" t="s">
        <v>257</v>
      </c>
      <c r="D360" s="216" t="s">
        <v>159</v>
      </c>
      <c r="F360" s="216" t="s">
        <v>160</v>
      </c>
      <c r="G360" s="216" t="s">
        <v>167</v>
      </c>
      <c r="H360" s="216" t="s">
        <v>258</v>
      </c>
      <c r="I360" s="216" t="s">
        <v>259</v>
      </c>
      <c r="J360" s="216" t="s">
        <v>258</v>
      </c>
      <c r="K360" s="216">
        <v>1800</v>
      </c>
      <c r="N360" s="230">
        <v>2</v>
      </c>
      <c r="P360" s="236">
        <v>1</v>
      </c>
    </row>
    <row r="361" spans="1:18" ht="23" x14ac:dyDescent="0.35">
      <c r="A361" s="216" t="s">
        <v>2825</v>
      </c>
      <c r="B361" s="216" t="s">
        <v>254</v>
      </c>
      <c r="C361" s="216" t="s">
        <v>257</v>
      </c>
      <c r="D361" s="216" t="s">
        <v>159</v>
      </c>
      <c r="F361" s="216" t="s">
        <v>160</v>
      </c>
      <c r="G361" s="216" t="s">
        <v>167</v>
      </c>
      <c r="H361" s="216" t="s">
        <v>258</v>
      </c>
      <c r="I361" s="216" t="s">
        <v>220</v>
      </c>
      <c r="J361" s="216" t="s">
        <v>258</v>
      </c>
      <c r="K361" s="216">
        <v>1600</v>
      </c>
      <c r="N361" s="230">
        <v>2</v>
      </c>
      <c r="P361" s="236">
        <v>1</v>
      </c>
    </row>
    <row r="362" spans="1:18" ht="23" x14ac:dyDescent="0.35">
      <c r="A362" s="216" t="s">
        <v>2825</v>
      </c>
      <c r="B362" s="216" t="s">
        <v>254</v>
      </c>
      <c r="C362" s="216" t="s">
        <v>265</v>
      </c>
      <c r="D362" s="216" t="s">
        <v>183</v>
      </c>
      <c r="F362" s="216" t="s">
        <v>184</v>
      </c>
      <c r="G362" s="216" t="s">
        <v>162</v>
      </c>
      <c r="H362" s="216" t="s">
        <v>187</v>
      </c>
      <c r="K362" s="216">
        <v>3000</v>
      </c>
      <c r="Q362" s="216" t="s">
        <v>192</v>
      </c>
      <c r="R362" s="216" t="s">
        <v>2643</v>
      </c>
    </row>
    <row r="363" spans="1:18" ht="23" x14ac:dyDescent="0.35">
      <c r="A363" s="216" t="s">
        <v>2825</v>
      </c>
      <c r="B363" s="216" t="s">
        <v>254</v>
      </c>
      <c r="C363" s="216" t="s">
        <v>1733</v>
      </c>
      <c r="D363" s="216" t="s">
        <v>183</v>
      </c>
      <c r="F363" s="216" t="s">
        <v>184</v>
      </c>
      <c r="G363" s="216" t="s">
        <v>171</v>
      </c>
      <c r="H363" s="216" t="s">
        <v>187</v>
      </c>
      <c r="K363" s="216">
        <v>3000</v>
      </c>
      <c r="Q363" s="216" t="s">
        <v>192</v>
      </c>
      <c r="R363" s="216" t="s">
        <v>2540</v>
      </c>
    </row>
    <row r="364" spans="1:18" ht="23" x14ac:dyDescent="0.35">
      <c r="A364" s="216" t="s">
        <v>2825</v>
      </c>
      <c r="B364" s="216" t="s">
        <v>254</v>
      </c>
      <c r="C364" s="216" t="s">
        <v>262</v>
      </c>
      <c r="D364" s="216" t="s">
        <v>183</v>
      </c>
      <c r="F364" s="216" t="s">
        <v>210</v>
      </c>
      <c r="G364" s="216" t="s">
        <v>189</v>
      </c>
      <c r="H364" s="216" t="s">
        <v>656</v>
      </c>
      <c r="I364" s="216" t="s">
        <v>170</v>
      </c>
      <c r="J364" s="216" t="s">
        <v>647</v>
      </c>
      <c r="K364" s="216">
        <v>2400</v>
      </c>
      <c r="N364" s="230">
        <v>2</v>
      </c>
    </row>
    <row r="365" spans="1:18" ht="23" x14ac:dyDescent="0.35">
      <c r="A365" s="216" t="s">
        <v>2825</v>
      </c>
      <c r="B365" s="216" t="s">
        <v>254</v>
      </c>
      <c r="C365" s="216" t="s">
        <v>262</v>
      </c>
      <c r="D365" s="216" t="s">
        <v>183</v>
      </c>
      <c r="F365" s="216" t="s">
        <v>210</v>
      </c>
      <c r="G365" s="216" t="s">
        <v>189</v>
      </c>
      <c r="H365" s="216" t="s">
        <v>656</v>
      </c>
      <c r="I365" s="216" t="s">
        <v>169</v>
      </c>
      <c r="J365" s="216" t="s">
        <v>647</v>
      </c>
      <c r="K365" s="216">
        <v>2600</v>
      </c>
      <c r="N365" s="230">
        <v>2</v>
      </c>
    </row>
    <row r="366" spans="1:18" ht="23" x14ac:dyDescent="0.35">
      <c r="A366" s="216" t="s">
        <v>2825</v>
      </c>
      <c r="B366" s="216" t="s">
        <v>254</v>
      </c>
      <c r="C366" s="216" t="s">
        <v>264</v>
      </c>
      <c r="D366" s="216" t="s">
        <v>183</v>
      </c>
      <c r="F366" s="216" t="s">
        <v>184</v>
      </c>
      <c r="G366" s="216" t="s">
        <v>168</v>
      </c>
      <c r="H366" s="216" t="s">
        <v>187</v>
      </c>
      <c r="K366" s="216">
        <v>3000</v>
      </c>
      <c r="M366" s="216" t="s">
        <v>182</v>
      </c>
      <c r="Q366" s="216" t="s">
        <v>192</v>
      </c>
      <c r="R366" s="216" t="s">
        <v>2541</v>
      </c>
    </row>
    <row r="367" spans="1:18" ht="23" x14ac:dyDescent="0.35">
      <c r="A367" s="216" t="s">
        <v>2825</v>
      </c>
      <c r="B367" s="216" t="s">
        <v>254</v>
      </c>
      <c r="C367" s="216" t="s">
        <v>276</v>
      </c>
      <c r="D367" s="216" t="s">
        <v>183</v>
      </c>
      <c r="F367" s="216" t="s">
        <v>184</v>
      </c>
      <c r="G367" s="216" t="s">
        <v>186</v>
      </c>
      <c r="H367" s="216" t="s">
        <v>197</v>
      </c>
      <c r="K367" s="216">
        <v>3000</v>
      </c>
      <c r="M367" s="216" t="s">
        <v>178</v>
      </c>
      <c r="N367" s="230">
        <v>2</v>
      </c>
      <c r="O367" s="233">
        <v>1</v>
      </c>
    </row>
    <row r="368" spans="1:18" ht="23" x14ac:dyDescent="0.35">
      <c r="A368" s="216" t="s">
        <v>2825</v>
      </c>
      <c r="B368" s="216" t="s">
        <v>254</v>
      </c>
      <c r="C368" s="216" t="s">
        <v>273</v>
      </c>
      <c r="D368" s="216" t="s">
        <v>159</v>
      </c>
      <c r="F368" s="216" t="s">
        <v>30</v>
      </c>
      <c r="G368" s="216" t="s">
        <v>171</v>
      </c>
      <c r="H368" s="216" t="s">
        <v>651</v>
      </c>
      <c r="I368" s="216" t="s">
        <v>212</v>
      </c>
      <c r="J368" s="216" t="s">
        <v>651</v>
      </c>
      <c r="K368" s="216" t="s">
        <v>256</v>
      </c>
      <c r="M368" s="216" t="s">
        <v>202</v>
      </c>
      <c r="P368" s="236">
        <v>1</v>
      </c>
    </row>
    <row r="369" spans="1:18" ht="23" x14ac:dyDescent="0.35">
      <c r="A369" s="216" t="s">
        <v>2825</v>
      </c>
      <c r="B369" s="216" t="s">
        <v>254</v>
      </c>
      <c r="C369" s="216" t="s">
        <v>273</v>
      </c>
      <c r="D369" s="216" t="s">
        <v>159</v>
      </c>
      <c r="F369" s="216" t="s">
        <v>30</v>
      </c>
      <c r="G369" s="216" t="s">
        <v>171</v>
      </c>
      <c r="H369" s="216" t="s">
        <v>651</v>
      </c>
      <c r="I369" s="216" t="s">
        <v>255</v>
      </c>
      <c r="J369" s="216" t="s">
        <v>651</v>
      </c>
      <c r="K369" s="216" t="s">
        <v>256</v>
      </c>
      <c r="M369" s="216" t="s">
        <v>202</v>
      </c>
      <c r="P369" s="236">
        <v>1</v>
      </c>
    </row>
    <row r="370" spans="1:18" ht="23" x14ac:dyDescent="0.35">
      <c r="A370" s="216" t="s">
        <v>2825</v>
      </c>
      <c r="B370" s="216" t="s">
        <v>254</v>
      </c>
      <c r="C370" s="216" t="s">
        <v>275</v>
      </c>
      <c r="D370" s="216" t="s">
        <v>183</v>
      </c>
      <c r="F370" s="216" t="s">
        <v>184</v>
      </c>
      <c r="G370" s="216" t="s">
        <v>217</v>
      </c>
      <c r="H370" s="216" t="s">
        <v>197</v>
      </c>
      <c r="K370" s="216">
        <v>3000</v>
      </c>
      <c r="M370" s="216" t="s">
        <v>178</v>
      </c>
      <c r="N370" s="230">
        <v>2</v>
      </c>
      <c r="Q370" s="216" t="s">
        <v>1901</v>
      </c>
    </row>
    <row r="371" spans="1:18" ht="23" x14ac:dyDescent="0.35">
      <c r="A371" s="216" t="s">
        <v>2825</v>
      </c>
      <c r="B371" s="216" t="s">
        <v>254</v>
      </c>
      <c r="C371" s="216" t="s">
        <v>268</v>
      </c>
      <c r="D371" s="216" t="s">
        <v>183</v>
      </c>
      <c r="E371" s="216" t="s">
        <v>159</v>
      </c>
      <c r="F371" s="216" t="s">
        <v>184</v>
      </c>
      <c r="G371" s="216" t="s">
        <v>263</v>
      </c>
      <c r="H371" s="216" t="s">
        <v>187</v>
      </c>
      <c r="K371" s="216">
        <v>2800</v>
      </c>
      <c r="M371" s="216" t="s">
        <v>850</v>
      </c>
      <c r="N371" s="230">
        <v>2</v>
      </c>
    </row>
    <row r="372" spans="1:18" s="266" customFormat="1" ht="23" x14ac:dyDescent="0.35">
      <c r="A372" s="216" t="s">
        <v>2825</v>
      </c>
      <c r="B372" s="216" t="s">
        <v>254</v>
      </c>
      <c r="C372" s="216" t="s">
        <v>268</v>
      </c>
      <c r="D372" s="216" t="s">
        <v>183</v>
      </c>
      <c r="E372" s="216" t="s">
        <v>159</v>
      </c>
      <c r="F372" s="216" t="s">
        <v>184</v>
      </c>
      <c r="G372" s="216" t="s">
        <v>207</v>
      </c>
      <c r="H372" s="216" t="s">
        <v>187</v>
      </c>
      <c r="I372" s="216"/>
      <c r="J372" s="216"/>
      <c r="K372" s="216">
        <v>2800</v>
      </c>
      <c r="L372" s="216"/>
      <c r="M372" s="216" t="s">
        <v>850</v>
      </c>
      <c r="N372" s="230">
        <v>2</v>
      </c>
      <c r="O372" s="233"/>
      <c r="P372" s="236"/>
      <c r="Q372" s="216"/>
      <c r="R372" s="216"/>
    </row>
    <row r="373" spans="1:18" s="266" customFormat="1" ht="23" x14ac:dyDescent="0.35">
      <c r="A373" s="216" t="s">
        <v>2825</v>
      </c>
      <c r="B373" s="216" t="s">
        <v>254</v>
      </c>
      <c r="C373" s="216" t="s">
        <v>261</v>
      </c>
      <c r="D373" s="216" t="s">
        <v>183</v>
      </c>
      <c r="E373" s="216"/>
      <c r="F373" s="216" t="s">
        <v>210</v>
      </c>
      <c r="G373" s="216" t="s">
        <v>162</v>
      </c>
      <c r="H373" s="216" t="s">
        <v>647</v>
      </c>
      <c r="I373" s="216" t="s">
        <v>177</v>
      </c>
      <c r="J373" s="216" t="s">
        <v>656</v>
      </c>
      <c r="K373" s="216">
        <v>3000</v>
      </c>
      <c r="L373" s="216"/>
      <c r="M373" s="216"/>
      <c r="N373" s="230">
        <v>2</v>
      </c>
      <c r="O373" s="233"/>
      <c r="P373" s="236"/>
      <c r="Q373" s="216"/>
      <c r="R373" s="216"/>
    </row>
    <row r="374" spans="1:18" s="266" customFormat="1" ht="23" x14ac:dyDescent="0.35">
      <c r="A374" s="216" t="s">
        <v>2825</v>
      </c>
      <c r="B374" s="216" t="s">
        <v>254</v>
      </c>
      <c r="C374" s="216" t="s">
        <v>261</v>
      </c>
      <c r="D374" s="216" t="s">
        <v>183</v>
      </c>
      <c r="E374" s="216"/>
      <c r="F374" s="216" t="s">
        <v>210</v>
      </c>
      <c r="G374" s="216" t="s">
        <v>255</v>
      </c>
      <c r="H374" s="216" t="s">
        <v>647</v>
      </c>
      <c r="I374" s="216" t="s">
        <v>161</v>
      </c>
      <c r="J374" s="216" t="s">
        <v>656</v>
      </c>
      <c r="K374" s="216">
        <v>2200</v>
      </c>
      <c r="L374" s="216"/>
      <c r="M374" s="216" t="s">
        <v>182</v>
      </c>
      <c r="N374" s="230">
        <v>2</v>
      </c>
      <c r="O374" s="233"/>
      <c r="P374" s="236"/>
      <c r="Q374" s="216"/>
      <c r="R374" s="216"/>
    </row>
    <row r="375" spans="1:18" s="266" customFormat="1" ht="23" x14ac:dyDescent="0.35">
      <c r="A375" s="216" t="s">
        <v>2825</v>
      </c>
      <c r="B375" s="216" t="s">
        <v>254</v>
      </c>
      <c r="C375" s="216" t="s">
        <v>261</v>
      </c>
      <c r="D375" s="216" t="s">
        <v>183</v>
      </c>
      <c r="E375" s="216"/>
      <c r="F375" s="216" t="s">
        <v>210</v>
      </c>
      <c r="G375" s="216" t="s">
        <v>212</v>
      </c>
      <c r="H375" s="216" t="s">
        <v>647</v>
      </c>
      <c r="I375" s="216" t="s">
        <v>223</v>
      </c>
      <c r="J375" s="216" t="s">
        <v>656</v>
      </c>
      <c r="K375" s="216">
        <v>2600</v>
      </c>
      <c r="L375" s="216"/>
      <c r="M375" s="216" t="s">
        <v>182</v>
      </c>
      <c r="N375" s="230">
        <v>2</v>
      </c>
      <c r="O375" s="233"/>
      <c r="P375" s="236"/>
      <c r="Q375" s="216"/>
      <c r="R375" s="216"/>
    </row>
    <row r="376" spans="1:18" s="266" customFormat="1" ht="23" x14ac:dyDescent="0.35">
      <c r="A376" s="216" t="s">
        <v>2825</v>
      </c>
      <c r="B376" s="216" t="s">
        <v>254</v>
      </c>
      <c r="C376" s="216" t="s">
        <v>261</v>
      </c>
      <c r="D376" s="216" t="s">
        <v>183</v>
      </c>
      <c r="E376" s="216"/>
      <c r="F376" s="216" t="s">
        <v>210</v>
      </c>
      <c r="G376" s="216" t="s">
        <v>170</v>
      </c>
      <c r="H376" s="216" t="s">
        <v>647</v>
      </c>
      <c r="I376" s="216" t="s">
        <v>189</v>
      </c>
      <c r="J376" s="216" t="s">
        <v>656</v>
      </c>
      <c r="K376" s="216">
        <v>2400</v>
      </c>
      <c r="L376" s="216"/>
      <c r="M376" s="216"/>
      <c r="N376" s="230">
        <v>2</v>
      </c>
      <c r="O376" s="233"/>
      <c r="P376" s="236"/>
      <c r="Q376" s="216"/>
      <c r="R376" s="216"/>
    </row>
    <row r="377" spans="1:18" s="266" customFormat="1" ht="23" x14ac:dyDescent="0.35">
      <c r="A377" s="216" t="s">
        <v>2057</v>
      </c>
      <c r="B377" s="216" t="s">
        <v>254</v>
      </c>
      <c r="C377" s="216" t="s">
        <v>610</v>
      </c>
      <c r="D377" s="216" t="s">
        <v>183</v>
      </c>
      <c r="E377" s="216"/>
      <c r="F377" s="216" t="s">
        <v>184</v>
      </c>
      <c r="G377" s="216" t="s">
        <v>263</v>
      </c>
      <c r="H377" s="216" t="s">
        <v>197</v>
      </c>
      <c r="I377" s="216"/>
      <c r="J377" s="216"/>
      <c r="K377" s="216">
        <v>1000</v>
      </c>
      <c r="L377" s="216" t="s">
        <v>609</v>
      </c>
      <c r="M377" s="216" t="s">
        <v>178</v>
      </c>
      <c r="N377" s="263"/>
      <c r="O377" s="263"/>
      <c r="P377" s="263"/>
      <c r="Q377" s="216" t="s">
        <v>1911</v>
      </c>
      <c r="R377" s="216"/>
    </row>
    <row r="378" spans="1:18" s="266" customFormat="1" ht="23" x14ac:dyDescent="0.35">
      <c r="A378" s="216" t="s">
        <v>2057</v>
      </c>
      <c r="B378" s="216" t="s">
        <v>254</v>
      </c>
      <c r="C378" s="216" t="s">
        <v>603</v>
      </c>
      <c r="D378" s="216" t="s">
        <v>183</v>
      </c>
      <c r="E378" s="216"/>
      <c r="F378" s="216" t="s">
        <v>184</v>
      </c>
      <c r="G378" s="216" t="s">
        <v>250</v>
      </c>
      <c r="H378" s="216" t="s">
        <v>187</v>
      </c>
      <c r="I378" s="216"/>
      <c r="J378" s="216"/>
      <c r="K378" s="216">
        <v>1000</v>
      </c>
      <c r="L378" s="216" t="s">
        <v>604</v>
      </c>
      <c r="M378" s="216"/>
      <c r="N378" s="263"/>
      <c r="O378" s="263"/>
      <c r="P378" s="263"/>
      <c r="Q378" s="216" t="s">
        <v>1901</v>
      </c>
      <c r="R378" s="216"/>
    </row>
    <row r="379" spans="1:18" s="266" customFormat="1" ht="23" x14ac:dyDescent="0.35">
      <c r="A379" s="216" t="s">
        <v>2057</v>
      </c>
      <c r="B379" s="216" t="s">
        <v>254</v>
      </c>
      <c r="C379" s="216" t="s">
        <v>605</v>
      </c>
      <c r="D379" s="216" t="s">
        <v>183</v>
      </c>
      <c r="E379" s="216"/>
      <c r="F379" s="216" t="s">
        <v>184</v>
      </c>
      <c r="G379" s="216" t="s">
        <v>253</v>
      </c>
      <c r="H379" s="216" t="s">
        <v>187</v>
      </c>
      <c r="I379" s="216"/>
      <c r="J379" s="216"/>
      <c r="K379" s="216">
        <v>1000</v>
      </c>
      <c r="L379" s="216" t="s">
        <v>604</v>
      </c>
      <c r="M379" s="216"/>
      <c r="N379" s="263"/>
      <c r="O379" s="263"/>
      <c r="P379" s="263"/>
      <c r="Q379" s="216" t="s">
        <v>1901</v>
      </c>
      <c r="R379" s="216"/>
    </row>
    <row r="380" spans="1:18" s="266" customFormat="1" ht="23" x14ac:dyDescent="0.35">
      <c r="A380" s="216" t="s">
        <v>2057</v>
      </c>
      <c r="B380" s="216" t="s">
        <v>254</v>
      </c>
      <c r="C380" s="216" t="s">
        <v>611</v>
      </c>
      <c r="D380" s="216" t="s">
        <v>183</v>
      </c>
      <c r="E380" s="216"/>
      <c r="F380" s="216" t="s">
        <v>184</v>
      </c>
      <c r="G380" s="216" t="s">
        <v>205</v>
      </c>
      <c r="H380" s="216" t="s">
        <v>187</v>
      </c>
      <c r="I380" s="216"/>
      <c r="J380" s="216"/>
      <c r="K380" s="216">
        <v>1000</v>
      </c>
      <c r="L380" s="216" t="s">
        <v>609</v>
      </c>
      <c r="M380" s="216" t="s">
        <v>178</v>
      </c>
      <c r="N380" s="263"/>
      <c r="O380" s="263"/>
      <c r="P380" s="263"/>
      <c r="Q380" s="216" t="s">
        <v>1911</v>
      </c>
      <c r="R380" s="216"/>
    </row>
    <row r="381" spans="1:18" s="266" customFormat="1" ht="23" x14ac:dyDescent="0.35">
      <c r="A381" s="216" t="s">
        <v>2057</v>
      </c>
      <c r="B381" s="216" t="s">
        <v>254</v>
      </c>
      <c r="C381" s="216" t="s">
        <v>606</v>
      </c>
      <c r="D381" s="216" t="s">
        <v>183</v>
      </c>
      <c r="E381" s="216"/>
      <c r="F381" s="216" t="s">
        <v>184</v>
      </c>
      <c r="G381" s="216" t="s">
        <v>169</v>
      </c>
      <c r="H381" s="216" t="s">
        <v>187</v>
      </c>
      <c r="I381" s="216"/>
      <c r="J381" s="216"/>
      <c r="K381" s="216">
        <v>1000</v>
      </c>
      <c r="L381" s="216" t="s">
        <v>608</v>
      </c>
      <c r="M381" s="216" t="s">
        <v>178</v>
      </c>
      <c r="N381" s="263"/>
      <c r="O381" s="263"/>
      <c r="P381" s="263"/>
      <c r="Q381" s="216" t="s">
        <v>1911</v>
      </c>
      <c r="R381" s="216"/>
    </row>
    <row r="382" spans="1:18" s="266" customFormat="1" ht="23" x14ac:dyDescent="0.35">
      <c r="A382" s="216" t="s">
        <v>2058</v>
      </c>
      <c r="B382" s="216" t="s">
        <v>254</v>
      </c>
      <c r="C382" s="216" t="s">
        <v>1731</v>
      </c>
      <c r="D382" s="216" t="s">
        <v>183</v>
      </c>
      <c r="E382" s="216" t="s">
        <v>663</v>
      </c>
      <c r="F382" s="216" t="s">
        <v>664</v>
      </c>
      <c r="G382" s="216" t="s">
        <v>712</v>
      </c>
      <c r="H382" s="216" t="s">
        <v>689</v>
      </c>
      <c r="I382" s="216"/>
      <c r="J382" s="216"/>
      <c r="K382" s="216" t="s">
        <v>669</v>
      </c>
      <c r="L382" s="216"/>
      <c r="M382" s="216"/>
      <c r="N382" s="263"/>
      <c r="O382" s="263"/>
      <c r="P382" s="263"/>
      <c r="Q382" s="216" t="s">
        <v>2517</v>
      </c>
      <c r="R382" s="216" t="s">
        <v>2518</v>
      </c>
    </row>
    <row r="383" spans="1:18" s="266" customFormat="1" ht="23" x14ac:dyDescent="0.35">
      <c r="A383" s="216" t="s">
        <v>2058</v>
      </c>
      <c r="B383" s="216" t="s">
        <v>254</v>
      </c>
      <c r="C383" s="216" t="s">
        <v>1731</v>
      </c>
      <c r="D383" s="216" t="s">
        <v>183</v>
      </c>
      <c r="E383" s="216" t="s">
        <v>663</v>
      </c>
      <c r="F383" s="216" t="s">
        <v>664</v>
      </c>
      <c r="G383" s="216" t="s">
        <v>712</v>
      </c>
      <c r="H383" s="216" t="s">
        <v>689</v>
      </c>
      <c r="I383" s="216"/>
      <c r="J383" s="216"/>
      <c r="K383" s="216" t="s">
        <v>669</v>
      </c>
      <c r="L383" s="216"/>
      <c r="M383" s="216"/>
      <c r="N383" s="263"/>
      <c r="O383" s="263"/>
      <c r="P383" s="263"/>
      <c r="Q383" s="216" t="s">
        <v>2517</v>
      </c>
      <c r="R383" s="216" t="s">
        <v>2518</v>
      </c>
    </row>
    <row r="384" spans="1:18" s="266" customFormat="1" ht="23" x14ac:dyDescent="0.35">
      <c r="A384" s="216" t="s">
        <v>2058</v>
      </c>
      <c r="B384" s="216" t="s">
        <v>254</v>
      </c>
      <c r="C384" s="216" t="s">
        <v>1731</v>
      </c>
      <c r="D384" s="216" t="s">
        <v>183</v>
      </c>
      <c r="E384" s="216" t="s">
        <v>663</v>
      </c>
      <c r="F384" s="216" t="s">
        <v>664</v>
      </c>
      <c r="G384" s="216" t="s">
        <v>712</v>
      </c>
      <c r="H384" s="216" t="s">
        <v>689</v>
      </c>
      <c r="I384" s="216"/>
      <c r="J384" s="216"/>
      <c r="K384" s="216" t="s">
        <v>669</v>
      </c>
      <c r="L384" s="216"/>
      <c r="M384" s="216"/>
      <c r="N384" s="263"/>
      <c r="O384" s="263"/>
      <c r="P384" s="263"/>
      <c r="Q384" s="216" t="s">
        <v>2517</v>
      </c>
      <c r="R384" s="216" t="s">
        <v>2518</v>
      </c>
    </row>
    <row r="385" spans="1:18" s="266" customFormat="1" ht="23" x14ac:dyDescent="0.35">
      <c r="A385" s="216" t="s">
        <v>2058</v>
      </c>
      <c r="B385" s="216" t="s">
        <v>254</v>
      </c>
      <c r="C385" s="216" t="s">
        <v>1731</v>
      </c>
      <c r="D385" s="216" t="s">
        <v>183</v>
      </c>
      <c r="E385" s="216" t="s">
        <v>663</v>
      </c>
      <c r="F385" s="216" t="s">
        <v>664</v>
      </c>
      <c r="G385" s="216" t="s">
        <v>712</v>
      </c>
      <c r="H385" s="216" t="s">
        <v>689</v>
      </c>
      <c r="I385" s="216"/>
      <c r="J385" s="216"/>
      <c r="K385" s="216" t="s">
        <v>669</v>
      </c>
      <c r="L385" s="216"/>
      <c r="M385" s="216"/>
      <c r="N385" s="263"/>
      <c r="O385" s="263"/>
      <c r="P385" s="263"/>
      <c r="Q385" s="216" t="s">
        <v>2517</v>
      </c>
      <c r="R385" s="216" t="s">
        <v>2518</v>
      </c>
    </row>
    <row r="386" spans="1:18" s="266" customFormat="1" ht="23" x14ac:dyDescent="0.35">
      <c r="A386" s="216" t="s">
        <v>2058</v>
      </c>
      <c r="B386" s="216" t="s">
        <v>254</v>
      </c>
      <c r="C386" s="216" t="s">
        <v>1731</v>
      </c>
      <c r="D386" s="216" t="s">
        <v>183</v>
      </c>
      <c r="E386" s="216" t="s">
        <v>663</v>
      </c>
      <c r="F386" s="216" t="s">
        <v>664</v>
      </c>
      <c r="G386" s="216" t="s">
        <v>712</v>
      </c>
      <c r="H386" s="216" t="s">
        <v>689</v>
      </c>
      <c r="I386" s="216"/>
      <c r="J386" s="216"/>
      <c r="K386" s="216" t="s">
        <v>669</v>
      </c>
      <c r="L386" s="216"/>
      <c r="M386" s="216"/>
      <c r="N386" s="263"/>
      <c r="O386" s="263"/>
      <c r="P386" s="263"/>
      <c r="Q386" s="216" t="s">
        <v>2517</v>
      </c>
      <c r="R386" s="216" t="s">
        <v>2518</v>
      </c>
    </row>
    <row r="387" spans="1:18" s="266" customFormat="1" ht="23" x14ac:dyDescent="0.35">
      <c r="A387" s="216" t="s">
        <v>2056</v>
      </c>
      <c r="B387" s="216" t="s">
        <v>254</v>
      </c>
      <c r="C387" s="216" t="s">
        <v>874</v>
      </c>
      <c r="D387" s="216" t="s">
        <v>183</v>
      </c>
      <c r="E387" s="216" t="s">
        <v>159</v>
      </c>
      <c r="F387" s="216" t="s">
        <v>30</v>
      </c>
      <c r="G387" s="216" t="s">
        <v>875</v>
      </c>
      <c r="H387" s="216" t="s">
        <v>876</v>
      </c>
      <c r="I387" s="216" t="s">
        <v>170</v>
      </c>
      <c r="J387" s="216" t="s">
        <v>877</v>
      </c>
      <c r="K387" s="216">
        <v>3400</v>
      </c>
      <c r="L387" s="216"/>
      <c r="M387" s="216" t="s">
        <v>178</v>
      </c>
      <c r="N387" s="263"/>
      <c r="O387" s="263"/>
      <c r="P387" s="263"/>
      <c r="Q387" s="216" t="s">
        <v>871</v>
      </c>
      <c r="R387" s="216" t="s">
        <v>2399</v>
      </c>
    </row>
    <row r="388" spans="1:18" s="266" customFormat="1" ht="23" x14ac:dyDescent="0.35">
      <c r="A388" s="216" t="s">
        <v>2056</v>
      </c>
      <c r="B388" s="216" t="s">
        <v>254</v>
      </c>
      <c r="C388" s="216" t="s">
        <v>1428</v>
      </c>
      <c r="D388" s="216" t="s">
        <v>159</v>
      </c>
      <c r="E388" s="216"/>
      <c r="F388" s="216" t="s">
        <v>160</v>
      </c>
      <c r="G388" s="216" t="s">
        <v>167</v>
      </c>
      <c r="H388" s="216" t="s">
        <v>258</v>
      </c>
      <c r="I388" s="216" t="s">
        <v>841</v>
      </c>
      <c r="J388" s="216" t="s">
        <v>258</v>
      </c>
      <c r="K388" s="216">
        <v>2800</v>
      </c>
      <c r="L388" s="216"/>
      <c r="M388" s="216"/>
      <c r="N388" s="263"/>
      <c r="O388" s="263"/>
      <c r="P388" s="263"/>
      <c r="Q388" s="216" t="s">
        <v>843</v>
      </c>
      <c r="R388" s="216" t="s">
        <v>2392</v>
      </c>
    </row>
    <row r="389" spans="1:18" s="266" customFormat="1" ht="23" x14ac:dyDescent="0.35">
      <c r="A389" s="216" t="s">
        <v>2056</v>
      </c>
      <c r="B389" s="216" t="s">
        <v>254</v>
      </c>
      <c r="C389" s="216" t="s">
        <v>868</v>
      </c>
      <c r="D389" s="216" t="s">
        <v>183</v>
      </c>
      <c r="E389" s="216"/>
      <c r="F389" s="216" t="s">
        <v>210</v>
      </c>
      <c r="G389" s="216" t="s">
        <v>834</v>
      </c>
      <c r="H389" s="216" t="s">
        <v>835</v>
      </c>
      <c r="I389" s="216" t="s">
        <v>170</v>
      </c>
      <c r="J389" s="216" t="s">
        <v>840</v>
      </c>
      <c r="K389" s="216">
        <v>2800</v>
      </c>
      <c r="L389" s="216"/>
      <c r="M389" s="216"/>
      <c r="N389" s="263"/>
      <c r="O389" s="263"/>
      <c r="P389" s="263"/>
      <c r="Q389" s="216" t="s">
        <v>835</v>
      </c>
      <c r="R389" s="216" t="s">
        <v>2398</v>
      </c>
    </row>
    <row r="390" spans="1:18" s="266" customFormat="1" ht="23" x14ac:dyDescent="0.35">
      <c r="A390" s="216" t="s">
        <v>2056</v>
      </c>
      <c r="B390" s="216" t="s">
        <v>254</v>
      </c>
      <c r="C390" s="216" t="s">
        <v>872</v>
      </c>
      <c r="D390" s="216" t="s">
        <v>183</v>
      </c>
      <c r="E390" s="216"/>
      <c r="F390" s="216" t="s">
        <v>210</v>
      </c>
      <c r="G390" s="216" t="s">
        <v>873</v>
      </c>
      <c r="H390" s="216" t="s">
        <v>660</v>
      </c>
      <c r="I390" s="216" t="s">
        <v>170</v>
      </c>
      <c r="J390" s="216" t="s">
        <v>870</v>
      </c>
      <c r="K390" s="216">
        <v>3000</v>
      </c>
      <c r="L390" s="216"/>
      <c r="M390" s="216" t="s">
        <v>178</v>
      </c>
      <c r="N390" s="263"/>
      <c r="O390" s="263"/>
      <c r="P390" s="263"/>
      <c r="Q390" s="216" t="s">
        <v>871</v>
      </c>
      <c r="R390" s="216" t="s">
        <v>2399</v>
      </c>
    </row>
    <row r="391" spans="1:18" s="266" customFormat="1" ht="23" x14ac:dyDescent="0.35">
      <c r="A391" s="216" t="s">
        <v>2056</v>
      </c>
      <c r="B391" s="216" t="s">
        <v>254</v>
      </c>
      <c r="C391" s="216" t="s">
        <v>869</v>
      </c>
      <c r="D391" s="216" t="s">
        <v>183</v>
      </c>
      <c r="E391" s="216"/>
      <c r="F391" s="216" t="s">
        <v>210</v>
      </c>
      <c r="G391" s="216" t="s">
        <v>833</v>
      </c>
      <c r="H391" s="216" t="s">
        <v>660</v>
      </c>
      <c r="I391" s="216" t="s">
        <v>170</v>
      </c>
      <c r="J391" s="216" t="s">
        <v>870</v>
      </c>
      <c r="K391" s="216">
        <v>3000</v>
      </c>
      <c r="L391" s="216"/>
      <c r="M391" s="216" t="s">
        <v>178</v>
      </c>
      <c r="N391" s="263"/>
      <c r="O391" s="263"/>
      <c r="P391" s="263"/>
      <c r="Q391" s="216" t="s">
        <v>871</v>
      </c>
      <c r="R391" s="216" t="s">
        <v>2399</v>
      </c>
    </row>
    <row r="392" spans="1:18" s="266" customFormat="1" ht="23" x14ac:dyDescent="0.35">
      <c r="A392" s="216" t="s">
        <v>2055</v>
      </c>
      <c r="B392" s="216" t="s">
        <v>254</v>
      </c>
      <c r="C392" s="216" t="s">
        <v>1592</v>
      </c>
      <c r="D392" s="216" t="s">
        <v>183</v>
      </c>
      <c r="E392" s="216" t="s">
        <v>159</v>
      </c>
      <c r="F392" s="216" t="s">
        <v>184</v>
      </c>
      <c r="G392" s="216" t="s">
        <v>1593</v>
      </c>
      <c r="H392" s="216" t="s">
        <v>197</v>
      </c>
      <c r="I392" s="216"/>
      <c r="J392" s="216"/>
      <c r="K392" s="216">
        <v>3600</v>
      </c>
      <c r="L392" s="216"/>
      <c r="M392" s="216" t="s">
        <v>178</v>
      </c>
      <c r="N392" s="263"/>
      <c r="O392" s="263"/>
      <c r="P392" s="263"/>
      <c r="Q392" s="216" t="s">
        <v>1912</v>
      </c>
      <c r="R392" s="216"/>
    </row>
    <row r="393" spans="1:18" s="266" customFormat="1" ht="23" x14ac:dyDescent="0.35">
      <c r="A393" s="216" t="s">
        <v>2055</v>
      </c>
      <c r="B393" s="216" t="s">
        <v>254</v>
      </c>
      <c r="C393" s="216" t="s">
        <v>1594</v>
      </c>
      <c r="D393" s="216" t="s">
        <v>183</v>
      </c>
      <c r="E393" s="216"/>
      <c r="F393" s="216" t="s">
        <v>210</v>
      </c>
      <c r="G393" s="216" t="s">
        <v>170</v>
      </c>
      <c r="H393" s="216" t="s">
        <v>661</v>
      </c>
      <c r="I393" s="216" t="s">
        <v>1595</v>
      </c>
      <c r="J393" s="216" t="s">
        <v>660</v>
      </c>
      <c r="K393" s="216">
        <v>2800</v>
      </c>
      <c r="L393" s="216"/>
      <c r="M393" s="216" t="s">
        <v>202</v>
      </c>
      <c r="N393" s="263"/>
      <c r="O393" s="263"/>
      <c r="P393" s="263"/>
      <c r="Q393" s="216" t="s">
        <v>843</v>
      </c>
      <c r="R393" s="216" t="s">
        <v>2392</v>
      </c>
    </row>
    <row r="394" spans="1:18" s="266" customFormat="1" ht="34.5" x14ac:dyDescent="0.35">
      <c r="A394" s="216" t="s">
        <v>2055</v>
      </c>
      <c r="B394" s="216" t="s">
        <v>254</v>
      </c>
      <c r="C394" s="216" t="s">
        <v>1589</v>
      </c>
      <c r="D394" s="216" t="s">
        <v>159</v>
      </c>
      <c r="E394" s="216"/>
      <c r="F394" s="216" t="s">
        <v>160</v>
      </c>
      <c r="G394" s="216" t="s">
        <v>200</v>
      </c>
      <c r="H394" s="216" t="s">
        <v>228</v>
      </c>
      <c r="I394" s="216" t="s">
        <v>1590</v>
      </c>
      <c r="J394" s="216" t="s">
        <v>2542</v>
      </c>
      <c r="K394" s="216">
        <v>2200</v>
      </c>
      <c r="L394" s="216"/>
      <c r="M394" s="216" t="s">
        <v>850</v>
      </c>
      <c r="N394" s="263"/>
      <c r="O394" s="263"/>
      <c r="P394" s="263"/>
      <c r="Q394" s="216" t="s">
        <v>1591</v>
      </c>
      <c r="R394" s="216" t="s">
        <v>2391</v>
      </c>
    </row>
    <row r="395" spans="1:18" s="266" customFormat="1" ht="34.5" x14ac:dyDescent="0.35">
      <c r="A395" s="216" t="s">
        <v>2055</v>
      </c>
      <c r="B395" s="216" t="s">
        <v>254</v>
      </c>
      <c r="C395" s="216" t="s">
        <v>1596</v>
      </c>
      <c r="D395" s="216" t="s">
        <v>159</v>
      </c>
      <c r="E395" s="216"/>
      <c r="F395" s="216" t="s">
        <v>160</v>
      </c>
      <c r="G395" s="216" t="s">
        <v>169</v>
      </c>
      <c r="H395" s="216" t="s">
        <v>228</v>
      </c>
      <c r="I395" s="216" t="s">
        <v>1598</v>
      </c>
      <c r="J395" s="216" t="s">
        <v>2542</v>
      </c>
      <c r="K395" s="216">
        <v>2200</v>
      </c>
      <c r="L395" s="216"/>
      <c r="M395" s="216" t="s">
        <v>850</v>
      </c>
      <c r="N395" s="263"/>
      <c r="O395" s="263"/>
      <c r="P395" s="263"/>
      <c r="Q395" s="216" t="s">
        <v>1591</v>
      </c>
      <c r="R395" s="216" t="s">
        <v>2391</v>
      </c>
    </row>
    <row r="396" spans="1:18" s="266" customFormat="1" ht="34.5" x14ac:dyDescent="0.35">
      <c r="A396" s="216" t="s">
        <v>2055</v>
      </c>
      <c r="B396" s="216" t="s">
        <v>254</v>
      </c>
      <c r="C396" s="216" t="s">
        <v>1597</v>
      </c>
      <c r="D396" s="216" t="s">
        <v>159</v>
      </c>
      <c r="E396" s="216"/>
      <c r="F396" s="216" t="s">
        <v>160</v>
      </c>
      <c r="G396" s="216" t="s">
        <v>181</v>
      </c>
      <c r="H396" s="216" t="s">
        <v>228</v>
      </c>
      <c r="I396" s="216" t="s">
        <v>1599</v>
      </c>
      <c r="J396" s="216" t="s">
        <v>2542</v>
      </c>
      <c r="K396" s="216">
        <v>2200</v>
      </c>
      <c r="L396" s="216"/>
      <c r="M396" s="216" t="s">
        <v>850</v>
      </c>
      <c r="N396" s="263"/>
      <c r="O396" s="263"/>
      <c r="P396" s="263"/>
      <c r="Q396" s="216" t="s">
        <v>1591</v>
      </c>
      <c r="R396" s="216" t="s">
        <v>2391</v>
      </c>
    </row>
  </sheetData>
  <autoFilter ref="A1:R396" xr:uid="{00000000-0009-0000-0000-000002000000}"/>
  <sortState xmlns:xlrd2="http://schemas.microsoft.com/office/spreadsheetml/2017/richdata2" ref="A2:R396">
    <sortCondition ref="B2:B396"/>
    <sortCondition ref="A2:A396"/>
    <sortCondition ref="C2:C396"/>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67092-8491-4614-B349-97DCD40FECAE}">
  <sheetPr>
    <tabColor rgb="FFFFFF00"/>
  </sheetPr>
  <dimension ref="A1:N20"/>
  <sheetViews>
    <sheetView workbookViewId="0">
      <pane xSplit="1" ySplit="1" topLeftCell="B2" activePane="bottomRight" state="frozen"/>
      <selection pane="topRight" activeCell="B1" sqref="B1"/>
      <selection pane="bottomLeft" activeCell="A2" sqref="A2"/>
      <selection pane="bottomRight" activeCell="B1" sqref="B1"/>
    </sheetView>
  </sheetViews>
  <sheetFormatPr defaultColWidth="8.90625" defaultRowHeight="13" x14ac:dyDescent="0.3"/>
  <cols>
    <col min="1" max="1" width="15.54296875" style="174" bestFit="1" customWidth="1"/>
    <col min="2" max="2" width="8.36328125" style="1" bestFit="1" customWidth="1"/>
    <col min="3" max="3" width="9.36328125" style="173" bestFit="1" customWidth="1"/>
    <col min="4" max="4" width="5.08984375" style="173" bestFit="1" customWidth="1"/>
    <col min="5" max="5" width="9.36328125" style="173" customWidth="1"/>
    <col min="6" max="6" width="6.1796875" style="173" bestFit="1" customWidth="1"/>
    <col min="7" max="7" width="11.90625" style="173" bestFit="1" customWidth="1"/>
    <col min="8" max="8" width="21.36328125" style="173" bestFit="1" customWidth="1"/>
    <col min="9" max="9" width="5.90625" style="173" bestFit="1" customWidth="1"/>
    <col min="10" max="10" width="0" style="1" hidden="1" customWidth="1"/>
    <col min="11" max="14" width="28.90625" style="177" customWidth="1"/>
    <col min="15" max="16384" width="8.90625" style="1"/>
  </cols>
  <sheetData>
    <row r="1" spans="1:14" s="7" customFormat="1" ht="13.5" thickBot="1" x14ac:dyDescent="0.35">
      <c r="A1" s="168" t="s">
        <v>0</v>
      </c>
      <c r="B1" s="168" t="s">
        <v>2</v>
      </c>
      <c r="C1" s="170" t="s">
        <v>2556</v>
      </c>
      <c r="D1" s="170" t="s">
        <v>8</v>
      </c>
      <c r="E1" s="170" t="s">
        <v>2543</v>
      </c>
      <c r="F1" s="170" t="s">
        <v>2544</v>
      </c>
      <c r="G1" s="170" t="s">
        <v>2558</v>
      </c>
      <c r="H1" s="170" t="s">
        <v>736</v>
      </c>
      <c r="I1" s="170" t="s">
        <v>2545</v>
      </c>
      <c r="J1" s="169"/>
      <c r="K1" s="175" t="s">
        <v>2591</v>
      </c>
      <c r="L1" s="175" t="s">
        <v>2591</v>
      </c>
      <c r="M1" s="175" t="s">
        <v>2592</v>
      </c>
      <c r="N1" s="178" t="s">
        <v>2592</v>
      </c>
    </row>
    <row r="2" spans="1:14" s="49" customFormat="1" ht="25" thickTop="1" thickBot="1" x14ac:dyDescent="0.4">
      <c r="A2" s="171" t="s">
        <v>2555</v>
      </c>
      <c r="B2" s="50">
        <v>7800</v>
      </c>
      <c r="C2" s="50" t="s">
        <v>2557</v>
      </c>
      <c r="D2" s="50">
        <v>6</v>
      </c>
      <c r="E2" s="50">
        <v>8</v>
      </c>
      <c r="F2" s="50">
        <v>4</v>
      </c>
      <c r="G2" s="50">
        <v>3</v>
      </c>
      <c r="H2" s="50" t="s">
        <v>2559</v>
      </c>
      <c r="I2" s="172">
        <v>5</v>
      </c>
      <c r="K2" s="180" t="s">
        <v>2594</v>
      </c>
      <c r="L2" s="176"/>
      <c r="M2" s="180" t="s">
        <v>111</v>
      </c>
      <c r="N2" s="179"/>
    </row>
    <row r="3" spans="1:14" s="49" customFormat="1" ht="27" thickTop="1" thickBot="1" x14ac:dyDescent="0.4">
      <c r="A3" s="171" t="s">
        <v>2560</v>
      </c>
      <c r="B3" s="50">
        <v>7800</v>
      </c>
      <c r="C3" s="50" t="s">
        <v>2565</v>
      </c>
      <c r="D3" s="50">
        <v>6</v>
      </c>
      <c r="E3" s="50">
        <v>8</v>
      </c>
      <c r="F3" s="50">
        <v>4</v>
      </c>
      <c r="G3" s="50">
        <v>3</v>
      </c>
      <c r="H3" s="50" t="s">
        <v>2559</v>
      </c>
      <c r="I3" s="172">
        <v>5</v>
      </c>
      <c r="K3" s="180" t="s">
        <v>2594</v>
      </c>
      <c r="L3" s="176"/>
      <c r="M3" s="180" t="s">
        <v>1852</v>
      </c>
      <c r="N3" s="179"/>
    </row>
    <row r="4" spans="1:14" s="49" customFormat="1" ht="25" thickTop="1" thickBot="1" x14ac:dyDescent="0.4">
      <c r="A4" s="171" t="s">
        <v>2561</v>
      </c>
      <c r="B4" s="50">
        <v>7800</v>
      </c>
      <c r="C4" s="50" t="s">
        <v>2564</v>
      </c>
      <c r="D4" s="50">
        <v>6</v>
      </c>
      <c r="E4" s="50">
        <v>8</v>
      </c>
      <c r="F4" s="50">
        <v>4</v>
      </c>
      <c r="G4" s="50">
        <v>3</v>
      </c>
      <c r="H4" s="50" t="s">
        <v>2559</v>
      </c>
      <c r="I4" s="172">
        <v>5</v>
      </c>
      <c r="K4" s="180" t="s">
        <v>2594</v>
      </c>
      <c r="L4" s="176"/>
      <c r="M4" s="180" t="s">
        <v>1423</v>
      </c>
      <c r="N4" s="179"/>
    </row>
    <row r="5" spans="1:14" s="49" customFormat="1" ht="27" thickTop="1" thickBot="1" x14ac:dyDescent="0.4">
      <c r="A5" s="171" t="s">
        <v>2562</v>
      </c>
      <c r="B5" s="50">
        <v>7800</v>
      </c>
      <c r="C5" s="50" t="s">
        <v>2563</v>
      </c>
      <c r="D5" s="50">
        <v>6</v>
      </c>
      <c r="E5" s="50">
        <v>8</v>
      </c>
      <c r="F5" s="50">
        <v>4</v>
      </c>
      <c r="G5" s="50">
        <v>3</v>
      </c>
      <c r="H5" s="50" t="s">
        <v>2559</v>
      </c>
      <c r="I5" s="172">
        <v>5</v>
      </c>
      <c r="K5" s="180" t="s">
        <v>2594</v>
      </c>
      <c r="L5" s="176"/>
      <c r="M5" s="180" t="s">
        <v>2593</v>
      </c>
      <c r="N5" s="179"/>
    </row>
    <row r="6" spans="1:14" s="49" customFormat="1" ht="27" thickTop="1" thickBot="1" x14ac:dyDescent="0.4">
      <c r="A6" s="171" t="s">
        <v>2546</v>
      </c>
      <c r="B6" s="50">
        <v>8500</v>
      </c>
      <c r="C6" s="50" t="s">
        <v>2566</v>
      </c>
      <c r="D6" s="50">
        <v>7</v>
      </c>
      <c r="E6" s="50">
        <v>6</v>
      </c>
      <c r="F6" s="50">
        <v>4</v>
      </c>
      <c r="G6" s="50">
        <v>3</v>
      </c>
      <c r="H6" s="50" t="s">
        <v>2567</v>
      </c>
      <c r="I6" s="172">
        <v>6</v>
      </c>
      <c r="K6" s="176"/>
      <c r="L6" s="176"/>
      <c r="M6" s="176"/>
      <c r="N6" s="179"/>
    </row>
    <row r="7" spans="1:14" s="49" customFormat="1" ht="27" thickTop="1" thickBot="1" x14ac:dyDescent="0.4">
      <c r="A7" s="171" t="s">
        <v>2547</v>
      </c>
      <c r="B7" s="50">
        <v>8600</v>
      </c>
      <c r="C7" s="50" t="s">
        <v>2568</v>
      </c>
      <c r="D7" s="50">
        <v>6</v>
      </c>
      <c r="E7" s="50">
        <v>15</v>
      </c>
      <c r="F7" s="50">
        <v>0</v>
      </c>
      <c r="G7" s="50">
        <v>3</v>
      </c>
      <c r="H7" s="50" t="s">
        <v>2615</v>
      </c>
      <c r="I7" s="172">
        <v>4</v>
      </c>
      <c r="K7" s="176" t="s">
        <v>2572</v>
      </c>
      <c r="L7" s="176"/>
      <c r="M7" s="180" t="s">
        <v>2614</v>
      </c>
      <c r="N7" s="179"/>
    </row>
    <row r="8" spans="1:14" s="49" customFormat="1" ht="49" thickTop="1" thickBot="1" x14ac:dyDescent="0.4">
      <c r="A8" s="171" t="s">
        <v>2548</v>
      </c>
      <c r="B8" s="50">
        <v>7500</v>
      </c>
      <c r="C8" s="50" t="s">
        <v>2569</v>
      </c>
      <c r="D8" s="50">
        <v>4</v>
      </c>
      <c r="E8" s="50">
        <v>4</v>
      </c>
      <c r="F8" s="50">
        <v>0</v>
      </c>
      <c r="G8" s="50">
        <v>2</v>
      </c>
      <c r="H8" s="50" t="s">
        <v>2587</v>
      </c>
      <c r="I8" s="172">
        <v>8</v>
      </c>
      <c r="K8" s="176" t="s">
        <v>2573</v>
      </c>
      <c r="L8" s="176" t="s">
        <v>2574</v>
      </c>
      <c r="M8" s="180" t="s">
        <v>2585</v>
      </c>
      <c r="N8" s="179"/>
    </row>
    <row r="9" spans="1:14" s="49" customFormat="1" ht="27" thickTop="1" thickBot="1" x14ac:dyDescent="0.4">
      <c r="A9" s="171" t="s">
        <v>2273</v>
      </c>
      <c r="B9" s="50">
        <v>9500</v>
      </c>
      <c r="C9" s="50" t="s">
        <v>2570</v>
      </c>
      <c r="D9" s="50">
        <v>5</v>
      </c>
      <c r="E9" s="50">
        <v>12</v>
      </c>
      <c r="F9" s="50" t="s">
        <v>2608</v>
      </c>
      <c r="G9" s="50">
        <v>2</v>
      </c>
      <c r="H9" s="50" t="s">
        <v>2576</v>
      </c>
      <c r="I9" s="172">
        <v>5</v>
      </c>
      <c r="K9" s="176" t="s">
        <v>2575</v>
      </c>
      <c r="L9" s="176"/>
      <c r="M9" s="176" t="s">
        <v>1418</v>
      </c>
      <c r="N9" s="179" t="s">
        <v>1420</v>
      </c>
    </row>
    <row r="10" spans="1:14" s="49" customFormat="1" ht="25" thickTop="1" thickBot="1" x14ac:dyDescent="0.4">
      <c r="A10" s="171" t="s">
        <v>2262</v>
      </c>
      <c r="B10" s="50">
        <v>9300</v>
      </c>
      <c r="C10" s="50" t="s">
        <v>2571</v>
      </c>
      <c r="D10" s="50">
        <v>5</v>
      </c>
      <c r="E10" s="50">
        <v>12</v>
      </c>
      <c r="F10" s="50" t="s">
        <v>2608</v>
      </c>
      <c r="G10" s="50">
        <v>2</v>
      </c>
      <c r="H10" s="50" t="s">
        <v>2576</v>
      </c>
      <c r="I10" s="172">
        <v>5</v>
      </c>
      <c r="K10" s="176" t="s">
        <v>2577</v>
      </c>
      <c r="L10" s="176"/>
      <c r="M10" s="176" t="s">
        <v>1424</v>
      </c>
      <c r="N10" s="179" t="s">
        <v>1423</v>
      </c>
    </row>
    <row r="11" spans="1:14" s="49" customFormat="1" ht="37" thickTop="1" thickBot="1" x14ac:dyDescent="0.4">
      <c r="A11" s="181" t="s">
        <v>2549</v>
      </c>
      <c r="B11" s="133">
        <v>8400</v>
      </c>
      <c r="C11" s="133" t="s">
        <v>2582</v>
      </c>
      <c r="D11" s="133">
        <v>6</v>
      </c>
      <c r="E11" s="133">
        <v>6</v>
      </c>
      <c r="F11" s="133">
        <v>4</v>
      </c>
      <c r="G11" s="133">
        <v>3</v>
      </c>
      <c r="H11" s="133" t="s">
        <v>2588</v>
      </c>
      <c r="I11" s="182">
        <v>5</v>
      </c>
      <c r="J11" s="135"/>
      <c r="K11" s="180" t="s">
        <v>2583</v>
      </c>
      <c r="L11" s="180"/>
      <c r="M11" s="180" t="s">
        <v>2550</v>
      </c>
      <c r="N11" s="183"/>
    </row>
    <row r="12" spans="1:14" s="49" customFormat="1" ht="27" thickTop="1" thickBot="1" x14ac:dyDescent="0.4">
      <c r="A12" s="181" t="s">
        <v>2551</v>
      </c>
      <c r="B12" s="133">
        <v>8200</v>
      </c>
      <c r="C12" s="133" t="s">
        <v>2600</v>
      </c>
      <c r="D12" s="133">
        <v>5</v>
      </c>
      <c r="E12" s="133">
        <v>6</v>
      </c>
      <c r="F12" s="133">
        <v>6</v>
      </c>
      <c r="G12" s="133">
        <v>2</v>
      </c>
      <c r="H12" s="133" t="s">
        <v>2601</v>
      </c>
      <c r="I12" s="182">
        <v>5</v>
      </c>
      <c r="J12" s="135"/>
      <c r="K12" s="180" t="s">
        <v>2647</v>
      </c>
      <c r="L12" s="180"/>
      <c r="M12" s="180"/>
      <c r="N12" s="183"/>
    </row>
    <row r="13" spans="1:14" s="49" customFormat="1" ht="61" thickTop="1" thickBot="1" x14ac:dyDescent="0.4">
      <c r="A13" s="181" t="s">
        <v>2552</v>
      </c>
      <c r="B13" s="133">
        <v>8000</v>
      </c>
      <c r="C13" s="133" t="s">
        <v>2597</v>
      </c>
      <c r="D13" s="133">
        <v>5</v>
      </c>
      <c r="E13" s="133" t="s">
        <v>2609</v>
      </c>
      <c r="F13" s="133">
        <v>0</v>
      </c>
      <c r="G13" s="133">
        <v>3</v>
      </c>
      <c r="H13" s="133" t="s">
        <v>2616</v>
      </c>
      <c r="I13" s="182">
        <v>4</v>
      </c>
      <c r="J13" s="135"/>
      <c r="K13" s="180" t="s">
        <v>2646</v>
      </c>
      <c r="L13" s="180"/>
      <c r="M13" s="180" t="s">
        <v>2180</v>
      </c>
      <c r="N13" s="183"/>
    </row>
    <row r="14" spans="1:14" s="49" customFormat="1" ht="27" thickTop="1" thickBot="1" x14ac:dyDescent="0.4">
      <c r="A14" s="181" t="s">
        <v>2578</v>
      </c>
      <c r="B14" s="133">
        <v>7700</v>
      </c>
      <c r="C14" s="133" t="s">
        <v>2598</v>
      </c>
      <c r="D14" s="133">
        <v>4</v>
      </c>
      <c r="E14" s="133">
        <v>4</v>
      </c>
      <c r="F14" s="133" t="s">
        <v>2610</v>
      </c>
      <c r="G14" s="133">
        <v>3</v>
      </c>
      <c r="H14" s="133" t="s">
        <v>2589</v>
      </c>
      <c r="I14" s="182">
        <v>6</v>
      </c>
      <c r="J14" s="135"/>
      <c r="K14" s="180" t="s">
        <v>2599</v>
      </c>
      <c r="L14" s="180"/>
      <c r="M14" s="180"/>
      <c r="N14" s="183"/>
    </row>
    <row r="15" spans="1:14" s="49" customFormat="1" ht="49" thickTop="1" thickBot="1" x14ac:dyDescent="0.4">
      <c r="A15" s="181" t="s">
        <v>2548</v>
      </c>
      <c r="B15" s="133">
        <v>7500</v>
      </c>
      <c r="C15" s="133" t="s">
        <v>2581</v>
      </c>
      <c r="D15" s="133">
        <v>4</v>
      </c>
      <c r="E15" s="133">
        <v>4</v>
      </c>
      <c r="F15" s="133">
        <v>0</v>
      </c>
      <c r="G15" s="133">
        <v>2</v>
      </c>
      <c r="H15" s="133" t="s">
        <v>2587</v>
      </c>
      <c r="I15" s="182">
        <v>8</v>
      </c>
      <c r="J15" s="135"/>
      <c r="K15" s="180" t="s">
        <v>2584</v>
      </c>
      <c r="L15" s="180" t="s">
        <v>2574</v>
      </c>
      <c r="M15" s="180" t="s">
        <v>2585</v>
      </c>
      <c r="N15" s="183"/>
    </row>
    <row r="16" spans="1:14" s="49" customFormat="1" ht="27" thickTop="1" thickBot="1" x14ac:dyDescent="0.4">
      <c r="A16" s="181" t="s">
        <v>2553</v>
      </c>
      <c r="B16" s="133">
        <v>7900</v>
      </c>
      <c r="C16" s="133" t="s">
        <v>2595</v>
      </c>
      <c r="D16" s="133">
        <v>6</v>
      </c>
      <c r="E16" s="133">
        <v>6</v>
      </c>
      <c r="F16" s="133">
        <v>3</v>
      </c>
      <c r="G16" s="133">
        <v>2</v>
      </c>
      <c r="H16" s="133" t="s">
        <v>2567</v>
      </c>
      <c r="I16" s="182">
        <v>6</v>
      </c>
      <c r="J16" s="135"/>
      <c r="K16" s="180" t="s">
        <v>2596</v>
      </c>
      <c r="L16" s="180"/>
      <c r="M16" s="180"/>
      <c r="N16" s="183"/>
    </row>
    <row r="17" spans="1:14" s="49" customFormat="1" ht="27" thickTop="1" thickBot="1" x14ac:dyDescent="0.4">
      <c r="A17" s="181" t="s">
        <v>2579</v>
      </c>
      <c r="B17" s="133">
        <v>8400</v>
      </c>
      <c r="C17" s="133" t="s">
        <v>2586</v>
      </c>
      <c r="D17" s="133">
        <v>4</v>
      </c>
      <c r="E17" s="133">
        <v>4</v>
      </c>
      <c r="F17" s="133">
        <v>0</v>
      </c>
      <c r="G17" s="133">
        <v>2</v>
      </c>
      <c r="H17" s="133" t="s">
        <v>2589</v>
      </c>
      <c r="I17" s="182">
        <v>6</v>
      </c>
      <c r="J17" s="135"/>
      <c r="K17" s="180" t="s">
        <v>2590</v>
      </c>
      <c r="L17" s="180"/>
      <c r="M17" s="180" t="s">
        <v>2181</v>
      </c>
      <c r="N17" s="183" t="s">
        <v>86</v>
      </c>
    </row>
    <row r="18" spans="1:14" s="49" customFormat="1" ht="37" thickTop="1" thickBot="1" x14ac:dyDescent="0.4">
      <c r="A18" s="181" t="s">
        <v>2580</v>
      </c>
      <c r="B18" s="133">
        <v>8600</v>
      </c>
      <c r="C18" s="133" t="s">
        <v>2602</v>
      </c>
      <c r="D18" s="133">
        <v>7</v>
      </c>
      <c r="E18" s="133">
        <v>6</v>
      </c>
      <c r="F18" s="133">
        <v>2</v>
      </c>
      <c r="G18" s="133">
        <v>2</v>
      </c>
      <c r="H18" s="133" t="s">
        <v>2617</v>
      </c>
      <c r="I18" s="182">
        <v>7</v>
      </c>
      <c r="J18" s="135"/>
      <c r="K18" s="180" t="s">
        <v>2603</v>
      </c>
      <c r="L18" s="180" t="s">
        <v>2604</v>
      </c>
      <c r="M18" s="180" t="s">
        <v>2605</v>
      </c>
      <c r="N18" s="183" t="s">
        <v>2606</v>
      </c>
    </row>
    <row r="19" spans="1:14" s="49" customFormat="1" ht="40" thickTop="1" thickBot="1" x14ac:dyDescent="0.4">
      <c r="A19" s="184" t="s">
        <v>2554</v>
      </c>
      <c r="B19" s="185">
        <v>8100</v>
      </c>
      <c r="C19" s="185" t="s">
        <v>2607</v>
      </c>
      <c r="D19" s="185">
        <v>5</v>
      </c>
      <c r="E19" s="185">
        <v>4</v>
      </c>
      <c r="F19" s="185" t="s">
        <v>2611</v>
      </c>
      <c r="G19" s="185">
        <v>2</v>
      </c>
      <c r="H19" s="185" t="s">
        <v>2612</v>
      </c>
      <c r="I19" s="186">
        <v>6</v>
      </c>
      <c r="J19" s="152"/>
      <c r="K19" s="187" t="s">
        <v>2613</v>
      </c>
      <c r="L19" s="187"/>
      <c r="M19" s="187" t="s">
        <v>1818</v>
      </c>
      <c r="N19" s="188" t="s">
        <v>2467</v>
      </c>
    </row>
    <row r="20" spans="1:14" ht="13.5" thickTop="1" x14ac:dyDescent="0.3"/>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93"/>
  <sheetViews>
    <sheetView zoomScaleNormal="100" workbookViewId="0"/>
  </sheetViews>
  <sheetFormatPr defaultColWidth="9.08984375" defaultRowHeight="11.5" x14ac:dyDescent="0.25"/>
  <cols>
    <col min="1" max="1" width="15.7265625" style="221" bestFit="1" customWidth="1"/>
    <col min="2" max="2" width="16.08984375" style="221" bestFit="1" customWidth="1"/>
    <col min="3" max="3" width="8.453125" style="223" bestFit="1" customWidth="1"/>
    <col min="4" max="4" width="13.90625" style="224" bestFit="1" customWidth="1"/>
    <col min="5" max="5" width="26.36328125" style="221" bestFit="1" customWidth="1"/>
    <col min="6" max="6" width="42.6328125" style="221" customWidth="1"/>
    <col min="7" max="7" width="33.08984375" style="221" bestFit="1" customWidth="1"/>
    <col min="8" max="8" width="41.36328125" style="221" bestFit="1" customWidth="1"/>
    <col min="9" max="16384" width="9.08984375" style="221"/>
  </cols>
  <sheetData>
    <row r="1" spans="1:8" x14ac:dyDescent="0.25">
      <c r="A1" s="240" t="s">
        <v>296</v>
      </c>
      <c r="B1" s="247" t="s">
        <v>0</v>
      </c>
      <c r="C1" s="248" t="s">
        <v>328</v>
      </c>
      <c r="D1" s="240" t="s">
        <v>329</v>
      </c>
      <c r="E1" s="240" t="s">
        <v>330</v>
      </c>
      <c r="F1" s="240" t="s">
        <v>153</v>
      </c>
      <c r="G1" s="240" t="s">
        <v>331</v>
      </c>
      <c r="H1" s="240" t="s">
        <v>153</v>
      </c>
    </row>
    <row r="2" spans="1:8" ht="23" x14ac:dyDescent="0.25">
      <c r="A2" s="216" t="s">
        <v>2825</v>
      </c>
      <c r="B2" s="216" t="s">
        <v>443</v>
      </c>
      <c r="C2" s="220" t="s">
        <v>431</v>
      </c>
      <c r="D2" s="216" t="s">
        <v>66</v>
      </c>
      <c r="E2" s="216" t="s">
        <v>444</v>
      </c>
      <c r="F2" s="216" t="s">
        <v>445</v>
      </c>
      <c r="G2" s="216" t="s">
        <v>446</v>
      </c>
      <c r="H2" s="227" t="s">
        <v>336</v>
      </c>
    </row>
    <row r="3" spans="1:8" ht="23" x14ac:dyDescent="0.25">
      <c r="A3" s="216" t="s">
        <v>2825</v>
      </c>
      <c r="B3" s="216" t="s">
        <v>456</v>
      </c>
      <c r="C3" s="220" t="s">
        <v>431</v>
      </c>
      <c r="D3" s="216"/>
      <c r="E3" s="216" t="s">
        <v>457</v>
      </c>
      <c r="F3" s="216" t="s">
        <v>458</v>
      </c>
      <c r="G3" s="216" t="s">
        <v>459</v>
      </c>
      <c r="H3" s="216" t="s">
        <v>460</v>
      </c>
    </row>
    <row r="4" spans="1:8" ht="23" x14ac:dyDescent="0.25">
      <c r="A4" s="216" t="s">
        <v>2825</v>
      </c>
      <c r="B4" s="216" t="s">
        <v>469</v>
      </c>
      <c r="C4" s="220" t="s">
        <v>431</v>
      </c>
      <c r="D4" s="216" t="s">
        <v>53</v>
      </c>
      <c r="E4" s="216" t="s">
        <v>470</v>
      </c>
      <c r="F4" s="216" t="s">
        <v>471</v>
      </c>
      <c r="G4" s="216" t="s">
        <v>472</v>
      </c>
      <c r="H4" s="225" t="s">
        <v>473</v>
      </c>
    </row>
    <row r="5" spans="1:8" ht="23" x14ac:dyDescent="0.25">
      <c r="A5" s="216" t="s">
        <v>2825</v>
      </c>
      <c r="B5" s="216" t="s">
        <v>452</v>
      </c>
      <c r="C5" s="220" t="s">
        <v>431</v>
      </c>
      <c r="D5" s="216" t="s">
        <v>41</v>
      </c>
      <c r="E5" s="216" t="s">
        <v>453</v>
      </c>
      <c r="F5" s="225" t="s">
        <v>2497</v>
      </c>
      <c r="G5" s="216" t="s">
        <v>454</v>
      </c>
      <c r="H5" s="216" t="s">
        <v>455</v>
      </c>
    </row>
    <row r="6" spans="1:8" ht="34.5" x14ac:dyDescent="0.25">
      <c r="A6" s="216" t="s">
        <v>2825</v>
      </c>
      <c r="B6" s="216" t="s">
        <v>439</v>
      </c>
      <c r="C6" s="220" t="s">
        <v>431</v>
      </c>
      <c r="D6" s="216"/>
      <c r="E6" s="216" t="s">
        <v>440</v>
      </c>
      <c r="F6" s="227" t="s">
        <v>441</v>
      </c>
      <c r="G6" s="216" t="s">
        <v>1897</v>
      </c>
      <c r="H6" s="216" t="s">
        <v>442</v>
      </c>
    </row>
    <row r="7" spans="1:8" ht="23" x14ac:dyDescent="0.25">
      <c r="A7" s="216" t="s">
        <v>2825</v>
      </c>
      <c r="B7" s="216" t="s">
        <v>1368</v>
      </c>
      <c r="C7" s="220" t="s">
        <v>431</v>
      </c>
      <c r="D7" s="216"/>
      <c r="E7" s="216" t="s">
        <v>461</v>
      </c>
      <c r="F7" s="216" t="s">
        <v>462</v>
      </c>
      <c r="G7" s="216" t="s">
        <v>463</v>
      </c>
      <c r="H7" s="216" t="s">
        <v>737</v>
      </c>
    </row>
    <row r="8" spans="1:8" ht="23" x14ac:dyDescent="0.25">
      <c r="A8" s="216" t="s">
        <v>2825</v>
      </c>
      <c r="B8" s="216" t="s">
        <v>1368</v>
      </c>
      <c r="C8" s="220" t="s">
        <v>431</v>
      </c>
      <c r="D8" s="216"/>
      <c r="E8" s="216" t="s">
        <v>461</v>
      </c>
      <c r="F8" s="216" t="s">
        <v>462</v>
      </c>
      <c r="G8" s="216" t="s">
        <v>463</v>
      </c>
      <c r="H8" s="216" t="s">
        <v>737</v>
      </c>
    </row>
    <row r="9" spans="1:8" ht="23" x14ac:dyDescent="0.25">
      <c r="A9" s="216" t="s">
        <v>2825</v>
      </c>
      <c r="B9" s="216" t="s">
        <v>436</v>
      </c>
      <c r="C9" s="220" t="s">
        <v>431</v>
      </c>
      <c r="D9" s="216" t="s">
        <v>66</v>
      </c>
      <c r="E9" s="216" t="s">
        <v>437</v>
      </c>
      <c r="F9" s="227" t="s">
        <v>2506</v>
      </c>
      <c r="G9" s="216" t="s">
        <v>438</v>
      </c>
      <c r="H9" s="226" t="s">
        <v>2507</v>
      </c>
    </row>
    <row r="10" spans="1:8" ht="23" x14ac:dyDescent="0.25">
      <c r="A10" s="216" t="s">
        <v>2825</v>
      </c>
      <c r="B10" s="216" t="s">
        <v>447</v>
      </c>
      <c r="C10" s="220" t="s">
        <v>431</v>
      </c>
      <c r="D10" s="216" t="s">
        <v>95</v>
      </c>
      <c r="E10" s="216" t="s">
        <v>448</v>
      </c>
      <c r="F10" s="216" t="s">
        <v>449</v>
      </c>
      <c r="G10" s="216" t="s">
        <v>450</v>
      </c>
      <c r="H10" s="225" t="s">
        <v>451</v>
      </c>
    </row>
    <row r="11" spans="1:8" ht="23" x14ac:dyDescent="0.25">
      <c r="A11" s="216" t="s">
        <v>2825</v>
      </c>
      <c r="B11" s="216" t="s">
        <v>430</v>
      </c>
      <c r="C11" s="220" t="s">
        <v>431</v>
      </c>
      <c r="D11" s="216"/>
      <c r="E11" s="216" t="s">
        <v>432</v>
      </c>
      <c r="F11" s="216" t="s">
        <v>433</v>
      </c>
      <c r="G11" s="216" t="s">
        <v>434</v>
      </c>
      <c r="H11" s="225" t="s">
        <v>435</v>
      </c>
    </row>
    <row r="12" spans="1:8" ht="23" x14ac:dyDescent="0.25">
      <c r="A12" s="216" t="s">
        <v>2825</v>
      </c>
      <c r="B12" s="216" t="s">
        <v>464</v>
      </c>
      <c r="C12" s="220" t="s">
        <v>431</v>
      </c>
      <c r="D12" s="216"/>
      <c r="E12" s="216" t="s">
        <v>465</v>
      </c>
      <c r="F12" s="225" t="s">
        <v>466</v>
      </c>
      <c r="G12" s="216" t="s">
        <v>467</v>
      </c>
      <c r="H12" s="216" t="s">
        <v>468</v>
      </c>
    </row>
    <row r="13" spans="1:8" ht="23" x14ac:dyDescent="0.25">
      <c r="A13" s="216" t="s">
        <v>2825</v>
      </c>
      <c r="B13" s="216" t="s">
        <v>332</v>
      </c>
      <c r="C13" s="220" t="s">
        <v>2828</v>
      </c>
      <c r="D13" s="216" t="s">
        <v>20</v>
      </c>
      <c r="E13" s="216" t="s">
        <v>333</v>
      </c>
      <c r="F13" s="225" t="s">
        <v>334</v>
      </c>
      <c r="G13" s="216" t="s">
        <v>335</v>
      </c>
      <c r="H13" s="227" t="s">
        <v>336</v>
      </c>
    </row>
    <row r="14" spans="1:8" ht="23" x14ac:dyDescent="0.25">
      <c r="A14" s="216" t="s">
        <v>2825</v>
      </c>
      <c r="B14" s="216" t="s">
        <v>332</v>
      </c>
      <c r="C14" s="220" t="s">
        <v>2828</v>
      </c>
      <c r="D14" s="216" t="s">
        <v>20</v>
      </c>
      <c r="E14" s="216" t="s">
        <v>333</v>
      </c>
      <c r="F14" s="225" t="s">
        <v>334</v>
      </c>
      <c r="G14" s="216" t="s">
        <v>335</v>
      </c>
      <c r="H14" s="227" t="s">
        <v>336</v>
      </c>
    </row>
    <row r="15" spans="1:8" ht="23" x14ac:dyDescent="0.25">
      <c r="A15" s="216" t="s">
        <v>2825</v>
      </c>
      <c r="B15" s="216" t="s">
        <v>337</v>
      </c>
      <c r="C15" s="220" t="s">
        <v>2828</v>
      </c>
      <c r="D15" s="216"/>
      <c r="E15" s="216" t="s">
        <v>338</v>
      </c>
      <c r="F15" s="225" t="s">
        <v>339</v>
      </c>
      <c r="G15" s="216" t="s">
        <v>340</v>
      </c>
      <c r="H15" s="216" t="s">
        <v>341</v>
      </c>
    </row>
    <row r="16" spans="1:8" ht="23" x14ac:dyDescent="0.25">
      <c r="A16" s="216" t="s">
        <v>2825</v>
      </c>
      <c r="B16" s="216" t="s">
        <v>342</v>
      </c>
      <c r="C16" s="220" t="s">
        <v>2828</v>
      </c>
      <c r="D16" s="216"/>
      <c r="E16" s="216" t="s">
        <v>343</v>
      </c>
      <c r="F16" s="225" t="s">
        <v>344</v>
      </c>
      <c r="G16" s="216" t="s">
        <v>345</v>
      </c>
      <c r="H16" s="216" t="s">
        <v>346</v>
      </c>
    </row>
    <row r="17" spans="1:8" ht="23" x14ac:dyDescent="0.25">
      <c r="A17" s="216" t="s">
        <v>2825</v>
      </c>
      <c r="B17" s="216" t="s">
        <v>342</v>
      </c>
      <c r="C17" s="220" t="s">
        <v>2828</v>
      </c>
      <c r="D17" s="216"/>
      <c r="E17" s="216" t="s">
        <v>343</v>
      </c>
      <c r="F17" s="225" t="s">
        <v>344</v>
      </c>
      <c r="G17" s="216" t="s">
        <v>345</v>
      </c>
      <c r="H17" s="216" t="s">
        <v>346</v>
      </c>
    </row>
    <row r="18" spans="1:8" ht="23" x14ac:dyDescent="0.25">
      <c r="A18" s="216" t="s">
        <v>2825</v>
      </c>
      <c r="B18" s="216" t="s">
        <v>347</v>
      </c>
      <c r="C18" s="220" t="s">
        <v>2828</v>
      </c>
      <c r="D18" s="216" t="s">
        <v>41</v>
      </c>
      <c r="E18" s="216" t="s">
        <v>348</v>
      </c>
      <c r="F18" s="225" t="s">
        <v>349</v>
      </c>
      <c r="G18" s="216" t="s">
        <v>350</v>
      </c>
      <c r="H18" s="227" t="s">
        <v>351</v>
      </c>
    </row>
    <row r="19" spans="1:8" ht="23" x14ac:dyDescent="0.25">
      <c r="A19" s="216" t="s">
        <v>2825</v>
      </c>
      <c r="B19" s="216" t="s">
        <v>347</v>
      </c>
      <c r="C19" s="220" t="s">
        <v>2828</v>
      </c>
      <c r="D19" s="216" t="s">
        <v>41</v>
      </c>
      <c r="E19" s="216" t="s">
        <v>348</v>
      </c>
      <c r="F19" s="225" t="s">
        <v>349</v>
      </c>
      <c r="G19" s="216" t="s">
        <v>350</v>
      </c>
      <c r="H19" s="227" t="s">
        <v>351</v>
      </c>
    </row>
    <row r="20" spans="1:8" ht="23" x14ac:dyDescent="0.25">
      <c r="A20" s="216" t="s">
        <v>2825</v>
      </c>
      <c r="B20" s="216" t="s">
        <v>1728</v>
      </c>
      <c r="C20" s="220" t="s">
        <v>2828</v>
      </c>
      <c r="D20" s="216"/>
      <c r="E20" s="216" t="s">
        <v>352</v>
      </c>
      <c r="F20" s="225" t="s">
        <v>353</v>
      </c>
      <c r="G20" s="216" t="s">
        <v>354</v>
      </c>
      <c r="H20" s="216" t="s">
        <v>355</v>
      </c>
    </row>
    <row r="21" spans="1:8" ht="23" x14ac:dyDescent="0.25">
      <c r="A21" s="216" t="s">
        <v>2825</v>
      </c>
      <c r="B21" s="216" t="s">
        <v>356</v>
      </c>
      <c r="C21" s="220" t="s">
        <v>2828</v>
      </c>
      <c r="D21" s="216"/>
      <c r="E21" s="216" t="s">
        <v>357</v>
      </c>
      <c r="F21" s="225" t="s">
        <v>358</v>
      </c>
      <c r="G21" s="216" t="s">
        <v>359</v>
      </c>
      <c r="H21" s="216" t="s">
        <v>360</v>
      </c>
    </row>
    <row r="22" spans="1:8" ht="23" x14ac:dyDescent="0.25">
      <c r="A22" s="216" t="s">
        <v>2825</v>
      </c>
      <c r="B22" s="216" t="s">
        <v>361</v>
      </c>
      <c r="C22" s="220" t="s">
        <v>362</v>
      </c>
      <c r="D22" s="216" t="s">
        <v>27</v>
      </c>
      <c r="E22" s="216" t="s">
        <v>363</v>
      </c>
      <c r="F22" s="227" t="s">
        <v>364</v>
      </c>
      <c r="G22" s="216" t="s">
        <v>365</v>
      </c>
      <c r="H22" s="216" t="s">
        <v>366</v>
      </c>
    </row>
    <row r="23" spans="1:8" ht="23" x14ac:dyDescent="0.25">
      <c r="A23" s="216" t="s">
        <v>2825</v>
      </c>
      <c r="B23" s="216" t="s">
        <v>361</v>
      </c>
      <c r="C23" s="220" t="s">
        <v>362</v>
      </c>
      <c r="D23" s="216" t="s">
        <v>27</v>
      </c>
      <c r="E23" s="216" t="s">
        <v>363</v>
      </c>
      <c r="F23" s="227" t="s">
        <v>2503</v>
      </c>
      <c r="G23" s="216" t="s">
        <v>365</v>
      </c>
      <c r="H23" s="216" t="s">
        <v>366</v>
      </c>
    </row>
    <row r="24" spans="1:8" ht="23" x14ac:dyDescent="0.25">
      <c r="A24" s="216" t="s">
        <v>2825</v>
      </c>
      <c r="B24" s="216" t="s">
        <v>361</v>
      </c>
      <c r="C24" s="220" t="s">
        <v>362</v>
      </c>
      <c r="D24" s="216" t="s">
        <v>27</v>
      </c>
      <c r="E24" s="216" t="s">
        <v>363</v>
      </c>
      <c r="F24" s="227" t="s">
        <v>2503</v>
      </c>
      <c r="G24" s="216" t="s">
        <v>365</v>
      </c>
      <c r="H24" s="216" t="s">
        <v>366</v>
      </c>
    </row>
    <row r="25" spans="1:8" ht="23" x14ac:dyDescent="0.25">
      <c r="A25" s="216" t="s">
        <v>2825</v>
      </c>
      <c r="B25" s="216" t="s">
        <v>367</v>
      </c>
      <c r="C25" s="220" t="s">
        <v>362</v>
      </c>
      <c r="D25" s="216"/>
      <c r="E25" s="216" t="s">
        <v>368</v>
      </c>
      <c r="F25" s="227" t="s">
        <v>369</v>
      </c>
      <c r="G25" s="216" t="s">
        <v>370</v>
      </c>
      <c r="H25" s="225" t="s">
        <v>371</v>
      </c>
    </row>
    <row r="26" spans="1:8" ht="23" x14ac:dyDescent="0.25">
      <c r="A26" s="216" t="s">
        <v>2825</v>
      </c>
      <c r="B26" s="216" t="s">
        <v>372</v>
      </c>
      <c r="C26" s="220" t="s">
        <v>362</v>
      </c>
      <c r="D26" s="216" t="s">
        <v>27</v>
      </c>
      <c r="E26" s="216" t="s">
        <v>373</v>
      </c>
      <c r="F26" s="227" t="s">
        <v>369</v>
      </c>
      <c r="G26" s="216" t="s">
        <v>374</v>
      </c>
      <c r="H26" s="226" t="s">
        <v>375</v>
      </c>
    </row>
    <row r="27" spans="1:8" ht="23" x14ac:dyDescent="0.25">
      <c r="A27" s="216" t="s">
        <v>2825</v>
      </c>
      <c r="B27" s="216" t="s">
        <v>376</v>
      </c>
      <c r="C27" s="220" t="s">
        <v>362</v>
      </c>
      <c r="D27" s="216" t="s">
        <v>124</v>
      </c>
      <c r="E27" s="216" t="s">
        <v>377</v>
      </c>
      <c r="F27" s="227" t="s">
        <v>378</v>
      </c>
      <c r="G27" s="216" t="s">
        <v>379</v>
      </c>
      <c r="H27" s="216" t="s">
        <v>2504</v>
      </c>
    </row>
    <row r="28" spans="1:8" ht="34.5" x14ac:dyDescent="0.25">
      <c r="A28" s="216" t="s">
        <v>2825</v>
      </c>
      <c r="B28" s="216" t="s">
        <v>380</v>
      </c>
      <c r="C28" s="220" t="s">
        <v>362</v>
      </c>
      <c r="D28" s="216" t="s">
        <v>381</v>
      </c>
      <c r="E28" s="216" t="s">
        <v>382</v>
      </c>
      <c r="F28" s="227" t="s">
        <v>1898</v>
      </c>
      <c r="G28" s="216" t="s">
        <v>383</v>
      </c>
      <c r="H28" s="226" t="s">
        <v>375</v>
      </c>
    </row>
    <row r="29" spans="1:8" ht="23" x14ac:dyDescent="0.25">
      <c r="A29" s="216" t="s">
        <v>2825</v>
      </c>
      <c r="B29" s="216" t="s">
        <v>384</v>
      </c>
      <c r="C29" s="220" t="s">
        <v>362</v>
      </c>
      <c r="D29" s="216"/>
      <c r="E29" s="216" t="s">
        <v>385</v>
      </c>
      <c r="F29" s="227" t="s">
        <v>386</v>
      </c>
      <c r="G29" s="216" t="s">
        <v>387</v>
      </c>
      <c r="H29" s="225" t="s">
        <v>388</v>
      </c>
    </row>
    <row r="30" spans="1:8" ht="23" x14ac:dyDescent="0.25">
      <c r="A30" s="216" t="s">
        <v>2825</v>
      </c>
      <c r="B30" s="216" t="s">
        <v>384</v>
      </c>
      <c r="C30" s="220" t="s">
        <v>362</v>
      </c>
      <c r="D30" s="216"/>
      <c r="E30" s="216" t="s">
        <v>385</v>
      </c>
      <c r="F30" s="227" t="s">
        <v>386</v>
      </c>
      <c r="G30" s="216" t="s">
        <v>387</v>
      </c>
      <c r="H30" s="225" t="s">
        <v>388</v>
      </c>
    </row>
    <row r="31" spans="1:8" ht="23" x14ac:dyDescent="0.25">
      <c r="A31" s="216" t="s">
        <v>2825</v>
      </c>
      <c r="B31" s="216" t="s">
        <v>389</v>
      </c>
      <c r="C31" s="220" t="s">
        <v>362</v>
      </c>
      <c r="D31" s="216" t="s">
        <v>66</v>
      </c>
      <c r="E31" s="216" t="s">
        <v>390</v>
      </c>
      <c r="F31" s="227" t="s">
        <v>391</v>
      </c>
      <c r="G31" s="216" t="s">
        <v>392</v>
      </c>
      <c r="H31" s="225" t="s">
        <v>393</v>
      </c>
    </row>
    <row r="32" spans="1:8" ht="23" x14ac:dyDescent="0.25">
      <c r="A32" s="216" t="s">
        <v>2825</v>
      </c>
      <c r="B32" s="216" t="s">
        <v>408</v>
      </c>
      <c r="C32" s="220" t="s">
        <v>395</v>
      </c>
      <c r="D32" s="216"/>
      <c r="E32" s="216" t="s">
        <v>409</v>
      </c>
      <c r="F32" s="226" t="s">
        <v>1416</v>
      </c>
      <c r="G32" s="216" t="s">
        <v>410</v>
      </c>
      <c r="H32" s="216" t="s">
        <v>411</v>
      </c>
    </row>
    <row r="33" spans="1:8" ht="23" x14ac:dyDescent="0.25">
      <c r="A33" s="216" t="s">
        <v>2825</v>
      </c>
      <c r="B33" s="216" t="s">
        <v>426</v>
      </c>
      <c r="C33" s="220" t="s">
        <v>395</v>
      </c>
      <c r="D33" s="216"/>
      <c r="E33" s="216" t="s">
        <v>427</v>
      </c>
      <c r="F33" s="227" t="s">
        <v>428</v>
      </c>
      <c r="G33" s="216" t="s">
        <v>429</v>
      </c>
      <c r="H33" s="216" t="s">
        <v>411</v>
      </c>
    </row>
    <row r="34" spans="1:8" ht="23" x14ac:dyDescent="0.25">
      <c r="A34" s="216" t="s">
        <v>2825</v>
      </c>
      <c r="B34" s="216" t="s">
        <v>403</v>
      </c>
      <c r="C34" s="220" t="s">
        <v>395</v>
      </c>
      <c r="D34" s="216" t="s">
        <v>55</v>
      </c>
      <c r="E34" s="216" t="s">
        <v>404</v>
      </c>
      <c r="F34" s="227" t="s">
        <v>405</v>
      </c>
      <c r="G34" s="216" t="s">
        <v>406</v>
      </c>
      <c r="H34" s="226" t="s">
        <v>407</v>
      </c>
    </row>
    <row r="35" spans="1:8" ht="23" x14ac:dyDescent="0.25">
      <c r="A35" s="216" t="s">
        <v>2825</v>
      </c>
      <c r="B35" s="216" t="s">
        <v>399</v>
      </c>
      <c r="C35" s="220" t="s">
        <v>395</v>
      </c>
      <c r="D35" s="216" t="s">
        <v>29</v>
      </c>
      <c r="E35" s="216" t="s">
        <v>400</v>
      </c>
      <c r="F35" s="226" t="s">
        <v>2618</v>
      </c>
      <c r="G35" s="216" t="s">
        <v>401</v>
      </c>
      <c r="H35" s="225" t="s">
        <v>402</v>
      </c>
    </row>
    <row r="36" spans="1:8" ht="23" x14ac:dyDescent="0.25">
      <c r="A36" s="216" t="s">
        <v>2825</v>
      </c>
      <c r="B36" s="216" t="s">
        <v>399</v>
      </c>
      <c r="C36" s="220" t="s">
        <v>395</v>
      </c>
      <c r="D36" s="216" t="s">
        <v>29</v>
      </c>
      <c r="E36" s="216" t="s">
        <v>400</v>
      </c>
      <c r="F36" s="226" t="s">
        <v>2618</v>
      </c>
      <c r="G36" s="216" t="s">
        <v>401</v>
      </c>
      <c r="H36" s="225" t="s">
        <v>402</v>
      </c>
    </row>
    <row r="37" spans="1:8" ht="23" x14ac:dyDescent="0.25">
      <c r="A37" s="216" t="s">
        <v>2825</v>
      </c>
      <c r="B37" s="216" t="s">
        <v>412</v>
      </c>
      <c r="C37" s="220" t="s">
        <v>395</v>
      </c>
      <c r="D37" s="216" t="s">
        <v>53</v>
      </c>
      <c r="E37" s="216" t="s">
        <v>413</v>
      </c>
      <c r="F37" s="216" t="s">
        <v>414</v>
      </c>
      <c r="G37" s="216" t="s">
        <v>415</v>
      </c>
      <c r="H37" s="226" t="s">
        <v>416</v>
      </c>
    </row>
    <row r="38" spans="1:8" ht="23" x14ac:dyDescent="0.25">
      <c r="A38" s="216" t="s">
        <v>2825</v>
      </c>
      <c r="B38" s="216" t="s">
        <v>422</v>
      </c>
      <c r="C38" s="220" t="s">
        <v>395</v>
      </c>
      <c r="D38" s="216" t="s">
        <v>76</v>
      </c>
      <c r="E38" s="216" t="s">
        <v>423</v>
      </c>
      <c r="F38" s="226" t="s">
        <v>2502</v>
      </c>
      <c r="G38" s="216" t="s">
        <v>424</v>
      </c>
      <c r="H38" s="216" t="s">
        <v>425</v>
      </c>
    </row>
    <row r="39" spans="1:8" ht="23" x14ac:dyDescent="0.25">
      <c r="A39" s="216" t="s">
        <v>2825</v>
      </c>
      <c r="B39" s="216" t="s">
        <v>394</v>
      </c>
      <c r="C39" s="220" t="s">
        <v>395</v>
      </c>
      <c r="D39" s="216" t="s">
        <v>29</v>
      </c>
      <c r="E39" s="216" t="s">
        <v>396</v>
      </c>
      <c r="F39" s="226" t="s">
        <v>397</v>
      </c>
      <c r="G39" s="216" t="s">
        <v>398</v>
      </c>
      <c r="H39" s="225" t="s">
        <v>339</v>
      </c>
    </row>
    <row r="40" spans="1:8" ht="23" x14ac:dyDescent="0.25">
      <c r="A40" s="216" t="s">
        <v>2825</v>
      </c>
      <c r="B40" s="216" t="s">
        <v>394</v>
      </c>
      <c r="C40" s="220" t="s">
        <v>395</v>
      </c>
      <c r="D40" s="216" t="s">
        <v>29</v>
      </c>
      <c r="E40" s="216" t="s">
        <v>396</v>
      </c>
      <c r="F40" s="226" t="s">
        <v>397</v>
      </c>
      <c r="G40" s="216" t="s">
        <v>398</v>
      </c>
      <c r="H40" s="225" t="s">
        <v>339</v>
      </c>
    </row>
    <row r="41" spans="1:8" ht="23" x14ac:dyDescent="0.25">
      <c r="A41" s="216" t="s">
        <v>2825</v>
      </c>
      <c r="B41" s="216" t="s">
        <v>417</v>
      </c>
      <c r="C41" s="220" t="s">
        <v>395</v>
      </c>
      <c r="D41" s="216" t="s">
        <v>66</v>
      </c>
      <c r="E41" s="216" t="s">
        <v>418</v>
      </c>
      <c r="F41" s="216" t="s">
        <v>419</v>
      </c>
      <c r="G41" s="216" t="s">
        <v>420</v>
      </c>
      <c r="H41" s="226" t="s">
        <v>421</v>
      </c>
    </row>
    <row r="42" spans="1:8" ht="57.5" x14ac:dyDescent="0.25">
      <c r="A42" s="216" t="s">
        <v>2826</v>
      </c>
      <c r="B42" s="216" t="s">
        <v>1922</v>
      </c>
      <c r="C42" s="220" t="s">
        <v>431</v>
      </c>
      <c r="D42" s="216"/>
      <c r="E42" s="216" t="s">
        <v>2076</v>
      </c>
      <c r="F42" s="216" t="s">
        <v>2077</v>
      </c>
      <c r="G42" s="216"/>
      <c r="H42" s="216"/>
    </row>
    <row r="43" spans="1:8" ht="57.5" x14ac:dyDescent="0.25">
      <c r="A43" s="216" t="s">
        <v>2826</v>
      </c>
      <c r="B43" s="216" t="s">
        <v>1922</v>
      </c>
      <c r="C43" s="220" t="s">
        <v>431</v>
      </c>
      <c r="D43" s="216"/>
      <c r="E43" s="216" t="s">
        <v>2076</v>
      </c>
      <c r="F43" s="216" t="s">
        <v>2077</v>
      </c>
      <c r="G43" s="216"/>
      <c r="H43" s="216"/>
    </row>
    <row r="44" spans="1:8" ht="34.5" x14ac:dyDescent="0.25">
      <c r="A44" s="216" t="s">
        <v>2826</v>
      </c>
      <c r="B44" s="216" t="s">
        <v>1923</v>
      </c>
      <c r="C44" s="220" t="s">
        <v>431</v>
      </c>
      <c r="D44" s="216" t="s">
        <v>381</v>
      </c>
      <c r="E44" s="216" t="s">
        <v>1924</v>
      </c>
      <c r="F44" s="216" t="s">
        <v>2078</v>
      </c>
      <c r="G44" s="216" t="s">
        <v>1925</v>
      </c>
      <c r="H44" s="216" t="s">
        <v>1926</v>
      </c>
    </row>
    <row r="45" spans="1:8" ht="23" x14ac:dyDescent="0.25">
      <c r="A45" s="216" t="s">
        <v>2826</v>
      </c>
      <c r="B45" s="216" t="s">
        <v>1927</v>
      </c>
      <c r="C45" s="220" t="s">
        <v>431</v>
      </c>
      <c r="D45" s="216"/>
      <c r="E45" s="216" t="s">
        <v>1928</v>
      </c>
      <c r="F45" s="216" t="s">
        <v>1929</v>
      </c>
      <c r="G45" s="216" t="s">
        <v>2079</v>
      </c>
      <c r="H45" s="216" t="s">
        <v>1930</v>
      </c>
    </row>
    <row r="46" spans="1:8" ht="23" x14ac:dyDescent="0.25">
      <c r="A46" s="216" t="s">
        <v>2826</v>
      </c>
      <c r="B46" s="216" t="s">
        <v>1931</v>
      </c>
      <c r="C46" s="220" t="s">
        <v>431</v>
      </c>
      <c r="D46" s="216" t="s">
        <v>576</v>
      </c>
      <c r="E46" s="216" t="s">
        <v>1932</v>
      </c>
      <c r="F46" s="216" t="s">
        <v>1933</v>
      </c>
      <c r="G46" s="216" t="s">
        <v>1934</v>
      </c>
      <c r="H46" s="216" t="s">
        <v>1935</v>
      </c>
    </row>
    <row r="47" spans="1:8" ht="23" x14ac:dyDescent="0.25">
      <c r="A47" s="216" t="s">
        <v>2826</v>
      </c>
      <c r="B47" s="216" t="s">
        <v>1950</v>
      </c>
      <c r="C47" s="220" t="s">
        <v>431</v>
      </c>
      <c r="D47" s="216" t="s">
        <v>27</v>
      </c>
      <c r="E47" s="216" t="s">
        <v>1957</v>
      </c>
      <c r="F47" s="227" t="s">
        <v>2133</v>
      </c>
      <c r="G47" s="216" t="s">
        <v>1958</v>
      </c>
      <c r="H47" s="216" t="s">
        <v>1959</v>
      </c>
    </row>
    <row r="48" spans="1:8" ht="23" x14ac:dyDescent="0.25">
      <c r="A48" s="216" t="s">
        <v>2826</v>
      </c>
      <c r="B48" s="216" t="s">
        <v>1951</v>
      </c>
      <c r="C48" s="220" t="s">
        <v>431</v>
      </c>
      <c r="D48" s="216"/>
      <c r="E48" s="216" t="s">
        <v>1960</v>
      </c>
      <c r="F48" s="216" t="s">
        <v>1961</v>
      </c>
      <c r="G48" s="216" t="s">
        <v>2079</v>
      </c>
      <c r="H48" s="216" t="s">
        <v>1930</v>
      </c>
    </row>
    <row r="49" spans="1:8" ht="23" x14ac:dyDescent="0.25">
      <c r="A49" s="216" t="s">
        <v>2826</v>
      </c>
      <c r="B49" s="216" t="s">
        <v>1952</v>
      </c>
      <c r="C49" s="220" t="s">
        <v>431</v>
      </c>
      <c r="D49" s="216" t="s">
        <v>1954</v>
      </c>
      <c r="E49" s="216" t="s">
        <v>1962</v>
      </c>
      <c r="F49" s="216" t="s">
        <v>1963</v>
      </c>
      <c r="G49" s="216" t="s">
        <v>1964</v>
      </c>
      <c r="H49" s="216" t="s">
        <v>1965</v>
      </c>
    </row>
    <row r="50" spans="1:8" ht="23" x14ac:dyDescent="0.25">
      <c r="A50" s="216" t="s">
        <v>2826</v>
      </c>
      <c r="B50" s="216" t="s">
        <v>1953</v>
      </c>
      <c r="C50" s="220" t="s">
        <v>431</v>
      </c>
      <c r="D50" s="216" t="s">
        <v>29</v>
      </c>
      <c r="E50" s="216" t="s">
        <v>2094</v>
      </c>
      <c r="F50" s="216" t="s">
        <v>1966</v>
      </c>
      <c r="G50" s="216" t="s">
        <v>1967</v>
      </c>
      <c r="H50" s="216" t="s">
        <v>2065</v>
      </c>
    </row>
    <row r="51" spans="1:8" ht="23" x14ac:dyDescent="0.25">
      <c r="A51" s="216" t="s">
        <v>2826</v>
      </c>
      <c r="B51" s="216" t="s">
        <v>1936</v>
      </c>
      <c r="C51" s="220" t="s">
        <v>2828</v>
      </c>
      <c r="D51" s="216"/>
      <c r="E51" s="216" t="s">
        <v>1941</v>
      </c>
      <c r="F51" s="225" t="s">
        <v>1942</v>
      </c>
      <c r="G51" s="216" t="s">
        <v>1943</v>
      </c>
      <c r="H51" s="225" t="s">
        <v>2071</v>
      </c>
    </row>
    <row r="52" spans="1:8" ht="23" x14ac:dyDescent="0.25">
      <c r="A52" s="216" t="s">
        <v>2826</v>
      </c>
      <c r="B52" s="216" t="s">
        <v>1936</v>
      </c>
      <c r="C52" s="220" t="s">
        <v>2828</v>
      </c>
      <c r="D52" s="216"/>
      <c r="E52" s="216" t="s">
        <v>1941</v>
      </c>
      <c r="F52" s="225" t="s">
        <v>1942</v>
      </c>
      <c r="G52" s="216" t="s">
        <v>1943</v>
      </c>
      <c r="H52" s="225" t="s">
        <v>2071</v>
      </c>
    </row>
    <row r="53" spans="1:8" ht="23" x14ac:dyDescent="0.25">
      <c r="A53" s="216" t="s">
        <v>2826</v>
      </c>
      <c r="B53" s="216" t="s">
        <v>1937</v>
      </c>
      <c r="C53" s="220" t="s">
        <v>2828</v>
      </c>
      <c r="D53" s="216" t="s">
        <v>1939</v>
      </c>
      <c r="E53" s="216" t="s">
        <v>1944</v>
      </c>
      <c r="F53" s="216" t="s">
        <v>1945</v>
      </c>
      <c r="G53" s="216" t="s">
        <v>1946</v>
      </c>
      <c r="H53" s="216" t="s">
        <v>2065</v>
      </c>
    </row>
    <row r="54" spans="1:8" ht="23" x14ac:dyDescent="0.25">
      <c r="A54" s="216" t="s">
        <v>2826</v>
      </c>
      <c r="B54" s="216" t="s">
        <v>1937</v>
      </c>
      <c r="C54" s="220" t="s">
        <v>2828</v>
      </c>
      <c r="D54" s="216" t="s">
        <v>1939</v>
      </c>
      <c r="E54" s="216" t="s">
        <v>1944</v>
      </c>
      <c r="F54" s="216" t="s">
        <v>1945</v>
      </c>
      <c r="G54" s="216" t="s">
        <v>1946</v>
      </c>
      <c r="H54" s="216" t="s">
        <v>2065</v>
      </c>
    </row>
    <row r="55" spans="1:8" ht="23" x14ac:dyDescent="0.25">
      <c r="A55" s="216" t="s">
        <v>2826</v>
      </c>
      <c r="B55" s="216" t="s">
        <v>1938</v>
      </c>
      <c r="C55" s="220" t="s">
        <v>2828</v>
      </c>
      <c r="D55" s="216" t="s">
        <v>1940</v>
      </c>
      <c r="E55" s="216" t="s">
        <v>1947</v>
      </c>
      <c r="F55" s="216" t="s">
        <v>2067</v>
      </c>
      <c r="G55" s="216" t="s">
        <v>1948</v>
      </c>
      <c r="H55" s="225" t="s">
        <v>1949</v>
      </c>
    </row>
    <row r="56" spans="1:8" ht="23" x14ac:dyDescent="0.25">
      <c r="A56" s="216" t="s">
        <v>2826</v>
      </c>
      <c r="B56" s="216" t="s">
        <v>1972</v>
      </c>
      <c r="C56" s="220" t="s">
        <v>2828</v>
      </c>
      <c r="D56" s="216" t="s">
        <v>1976</v>
      </c>
      <c r="E56" s="216" t="s">
        <v>1977</v>
      </c>
      <c r="F56" s="216" t="s">
        <v>1978</v>
      </c>
      <c r="G56" s="216" t="s">
        <v>1979</v>
      </c>
      <c r="H56" s="225" t="s">
        <v>2068</v>
      </c>
    </row>
    <row r="57" spans="1:8" ht="23" x14ac:dyDescent="0.25">
      <c r="A57" s="216" t="s">
        <v>2826</v>
      </c>
      <c r="B57" s="216" t="s">
        <v>1973</v>
      </c>
      <c r="C57" s="220" t="s">
        <v>2828</v>
      </c>
      <c r="D57" s="216" t="s">
        <v>66</v>
      </c>
      <c r="E57" s="216" t="s">
        <v>1980</v>
      </c>
      <c r="F57" s="227" t="s">
        <v>1982</v>
      </c>
      <c r="G57" s="216" t="s">
        <v>1981</v>
      </c>
      <c r="H57" s="225" t="s">
        <v>1971</v>
      </c>
    </row>
    <row r="58" spans="1:8" ht="23" x14ac:dyDescent="0.25">
      <c r="A58" s="216" t="s">
        <v>2826</v>
      </c>
      <c r="B58" s="216" t="s">
        <v>1974</v>
      </c>
      <c r="C58" s="220" t="s">
        <v>2828</v>
      </c>
      <c r="D58" s="216" t="s">
        <v>30</v>
      </c>
      <c r="E58" s="216" t="s">
        <v>1983</v>
      </c>
      <c r="F58" s="225" t="s">
        <v>1984</v>
      </c>
      <c r="G58" s="216" t="s">
        <v>2080</v>
      </c>
      <c r="H58" s="216" t="s">
        <v>2134</v>
      </c>
    </row>
    <row r="59" spans="1:8" ht="23" x14ac:dyDescent="0.25">
      <c r="A59" s="216" t="s">
        <v>2826</v>
      </c>
      <c r="B59" s="216" t="s">
        <v>1975</v>
      </c>
      <c r="C59" s="220" t="s">
        <v>2828</v>
      </c>
      <c r="D59" s="216" t="s">
        <v>54</v>
      </c>
      <c r="E59" s="216" t="s">
        <v>2081</v>
      </c>
      <c r="F59" s="225" t="s">
        <v>1985</v>
      </c>
      <c r="G59" s="216" t="s">
        <v>1986</v>
      </c>
      <c r="H59" s="216" t="s">
        <v>1930</v>
      </c>
    </row>
    <row r="60" spans="1:8" ht="23" x14ac:dyDescent="0.25">
      <c r="A60" s="216" t="s">
        <v>2826</v>
      </c>
      <c r="B60" s="216" t="s">
        <v>1987</v>
      </c>
      <c r="C60" s="220" t="s">
        <v>2828</v>
      </c>
      <c r="D60" s="216" t="s">
        <v>594</v>
      </c>
      <c r="E60" s="216" t="s">
        <v>2082</v>
      </c>
      <c r="F60" s="216" t="s">
        <v>1988</v>
      </c>
      <c r="G60" s="216" t="s">
        <v>1989</v>
      </c>
      <c r="H60" s="225" t="s">
        <v>2083</v>
      </c>
    </row>
    <row r="61" spans="1:8" ht="23" x14ac:dyDescent="0.25">
      <c r="A61" s="216" t="s">
        <v>2826</v>
      </c>
      <c r="B61" s="216" t="s">
        <v>1955</v>
      </c>
      <c r="C61" s="220" t="s">
        <v>2828</v>
      </c>
      <c r="D61" s="216" t="s">
        <v>1956</v>
      </c>
      <c r="E61" s="216" t="s">
        <v>1968</v>
      </c>
      <c r="F61" s="216" t="s">
        <v>1969</v>
      </c>
      <c r="G61" s="216" t="s">
        <v>1970</v>
      </c>
      <c r="H61" s="225" t="s">
        <v>1971</v>
      </c>
    </row>
    <row r="62" spans="1:8" ht="34.5" x14ac:dyDescent="0.25">
      <c r="A62" s="216" t="s">
        <v>2826</v>
      </c>
      <c r="B62" s="216" t="s">
        <v>2003</v>
      </c>
      <c r="C62" s="220" t="s">
        <v>362</v>
      </c>
      <c r="D62" s="216"/>
      <c r="E62" s="216" t="s">
        <v>2069</v>
      </c>
      <c r="F62" s="227" t="s">
        <v>2498</v>
      </c>
      <c r="G62" s="216" t="s">
        <v>2070</v>
      </c>
      <c r="H62" s="225" t="s">
        <v>2499</v>
      </c>
    </row>
    <row r="63" spans="1:8" ht="23" x14ac:dyDescent="0.25">
      <c r="A63" s="216" t="s">
        <v>2826</v>
      </c>
      <c r="B63" s="216" t="s">
        <v>2004</v>
      </c>
      <c r="C63" s="220" t="s">
        <v>362</v>
      </c>
      <c r="D63" s="216"/>
      <c r="E63" s="216" t="s">
        <v>2072</v>
      </c>
      <c r="F63" s="227" t="s">
        <v>2064</v>
      </c>
      <c r="G63" s="216" t="s">
        <v>2073</v>
      </c>
      <c r="H63" s="226" t="s">
        <v>2500</v>
      </c>
    </row>
    <row r="64" spans="1:8" ht="23" x14ac:dyDescent="0.25">
      <c r="A64" s="216" t="s">
        <v>2826</v>
      </c>
      <c r="B64" s="216" t="s">
        <v>2005</v>
      </c>
      <c r="C64" s="220" t="s">
        <v>362</v>
      </c>
      <c r="D64" s="216" t="s">
        <v>2006</v>
      </c>
      <c r="E64" s="216" t="s">
        <v>2007</v>
      </c>
      <c r="F64" s="227" t="s">
        <v>2012</v>
      </c>
      <c r="G64" s="216" t="s">
        <v>2074</v>
      </c>
      <c r="H64" s="216" t="s">
        <v>2008</v>
      </c>
    </row>
    <row r="65" spans="1:8" ht="23" x14ac:dyDescent="0.25">
      <c r="A65" s="216" t="s">
        <v>2826</v>
      </c>
      <c r="B65" s="216" t="s">
        <v>2095</v>
      </c>
      <c r="C65" s="220" t="s">
        <v>362</v>
      </c>
      <c r="D65" s="216" t="s">
        <v>1954</v>
      </c>
      <c r="E65" s="216" t="s">
        <v>2011</v>
      </c>
      <c r="F65" s="227" t="s">
        <v>2012</v>
      </c>
      <c r="G65" s="216" t="s">
        <v>2014</v>
      </c>
      <c r="H65" s="225" t="s">
        <v>2015</v>
      </c>
    </row>
    <row r="66" spans="1:8" ht="23" x14ac:dyDescent="0.25">
      <c r="A66" s="216" t="s">
        <v>2826</v>
      </c>
      <c r="B66" s="216" t="s">
        <v>2010</v>
      </c>
      <c r="C66" s="220" t="s">
        <v>362</v>
      </c>
      <c r="D66" s="216" t="s">
        <v>2009</v>
      </c>
      <c r="E66" s="216" t="s">
        <v>2013</v>
      </c>
      <c r="F66" s="227" t="s">
        <v>2012</v>
      </c>
      <c r="G66" s="216" t="s">
        <v>2016</v>
      </c>
      <c r="H66" s="216" t="s">
        <v>2017</v>
      </c>
    </row>
    <row r="67" spans="1:8" ht="23" x14ac:dyDescent="0.25">
      <c r="A67" s="216" t="s">
        <v>2826</v>
      </c>
      <c r="B67" s="216" t="s">
        <v>2035</v>
      </c>
      <c r="C67" s="220" t="s">
        <v>362</v>
      </c>
      <c r="D67" s="216" t="s">
        <v>66</v>
      </c>
      <c r="E67" s="216" t="s">
        <v>2037</v>
      </c>
      <c r="F67" s="227" t="s">
        <v>2038</v>
      </c>
      <c r="G67" s="216" t="s">
        <v>1986</v>
      </c>
      <c r="H67" s="216" t="s">
        <v>1930</v>
      </c>
    </row>
    <row r="68" spans="1:8" ht="34.5" x14ac:dyDescent="0.25">
      <c r="A68" s="216" t="s">
        <v>2826</v>
      </c>
      <c r="B68" s="216" t="s">
        <v>2036</v>
      </c>
      <c r="C68" s="220" t="s">
        <v>362</v>
      </c>
      <c r="D68" s="216" t="s">
        <v>41</v>
      </c>
      <c r="E68" s="216" t="s">
        <v>2086</v>
      </c>
      <c r="F68" s="226" t="s">
        <v>2039</v>
      </c>
      <c r="G68" s="216" t="s">
        <v>2087</v>
      </c>
      <c r="H68" s="225" t="s">
        <v>2040</v>
      </c>
    </row>
    <row r="69" spans="1:8" ht="34.5" x14ac:dyDescent="0.25">
      <c r="A69" s="216" t="s">
        <v>2826</v>
      </c>
      <c r="B69" s="216" t="s">
        <v>2135</v>
      </c>
      <c r="C69" s="220" t="s">
        <v>362</v>
      </c>
      <c r="D69" s="216"/>
      <c r="E69" s="216" t="s">
        <v>2041</v>
      </c>
      <c r="F69" s="225" t="s">
        <v>2088</v>
      </c>
      <c r="G69" s="216" t="s">
        <v>2089</v>
      </c>
      <c r="H69" s="216" t="s">
        <v>2042</v>
      </c>
    </row>
    <row r="70" spans="1:8" ht="23" x14ac:dyDescent="0.25">
      <c r="A70" s="216" t="s">
        <v>2826</v>
      </c>
      <c r="B70" s="216" t="s">
        <v>2043</v>
      </c>
      <c r="C70" s="220" t="s">
        <v>362</v>
      </c>
      <c r="D70" s="216" t="s">
        <v>1463</v>
      </c>
      <c r="E70" s="222" t="s">
        <v>2092</v>
      </c>
      <c r="F70" s="225" t="s">
        <v>2045</v>
      </c>
      <c r="G70" s="216" t="s">
        <v>2093</v>
      </c>
      <c r="H70" s="227" t="s">
        <v>2046</v>
      </c>
    </row>
    <row r="71" spans="1:8" ht="46" x14ac:dyDescent="0.25">
      <c r="A71" s="216" t="s">
        <v>2826</v>
      </c>
      <c r="B71" s="216" t="s">
        <v>2044</v>
      </c>
      <c r="C71" s="220" t="s">
        <v>362</v>
      </c>
      <c r="D71" s="216" t="s">
        <v>803</v>
      </c>
      <c r="E71" s="216" t="s">
        <v>2047</v>
      </c>
      <c r="F71" s="227" t="s">
        <v>2048</v>
      </c>
      <c r="G71" s="216" t="s">
        <v>2049</v>
      </c>
      <c r="H71" s="216" t="s">
        <v>2050</v>
      </c>
    </row>
    <row r="72" spans="1:8" ht="57.5" x14ac:dyDescent="0.25">
      <c r="A72" s="216" t="s">
        <v>2826</v>
      </c>
      <c r="B72" s="216" t="s">
        <v>2051</v>
      </c>
      <c r="C72" s="220" t="s">
        <v>395</v>
      </c>
      <c r="D72" s="216"/>
      <c r="E72" s="216" t="s">
        <v>1990</v>
      </c>
      <c r="F72" s="216" t="s">
        <v>1991</v>
      </c>
      <c r="G72" s="216"/>
      <c r="H72" s="216"/>
    </row>
    <row r="73" spans="1:8" ht="57.5" x14ac:dyDescent="0.25">
      <c r="A73" s="216" t="s">
        <v>2826</v>
      </c>
      <c r="B73" s="216" t="s">
        <v>2051</v>
      </c>
      <c r="C73" s="220" t="s">
        <v>395</v>
      </c>
      <c r="D73" s="216"/>
      <c r="E73" s="216" t="s">
        <v>1990</v>
      </c>
      <c r="F73" s="216" t="s">
        <v>1991</v>
      </c>
      <c r="G73" s="216"/>
      <c r="H73" s="216"/>
    </row>
    <row r="74" spans="1:8" ht="23" x14ac:dyDescent="0.25">
      <c r="A74" s="216" t="s">
        <v>2826</v>
      </c>
      <c r="B74" s="216" t="s">
        <v>1992</v>
      </c>
      <c r="C74" s="220" t="s">
        <v>395</v>
      </c>
      <c r="D74" s="216" t="s">
        <v>42</v>
      </c>
      <c r="E74" s="216" t="s">
        <v>1995</v>
      </c>
      <c r="F74" s="226" t="s">
        <v>2075</v>
      </c>
      <c r="G74" s="216" t="s">
        <v>1996</v>
      </c>
      <c r="H74" s="225" t="s">
        <v>2136</v>
      </c>
    </row>
    <row r="75" spans="1:8" ht="23" x14ac:dyDescent="0.25">
      <c r="A75" s="216" t="s">
        <v>2826</v>
      </c>
      <c r="B75" s="216" t="s">
        <v>1993</v>
      </c>
      <c r="C75" s="220" t="s">
        <v>395</v>
      </c>
      <c r="D75" s="216" t="s">
        <v>2619</v>
      </c>
      <c r="E75" s="216" t="s">
        <v>1997</v>
      </c>
      <c r="F75" s="226" t="s">
        <v>1998</v>
      </c>
      <c r="G75" s="216" t="s">
        <v>2137</v>
      </c>
      <c r="H75" s="216" t="s">
        <v>2066</v>
      </c>
    </row>
    <row r="76" spans="1:8" ht="34.5" x14ac:dyDescent="0.25">
      <c r="A76" s="216" t="s">
        <v>2826</v>
      </c>
      <c r="B76" s="216" t="s">
        <v>1994</v>
      </c>
      <c r="C76" s="220" t="s">
        <v>395</v>
      </c>
      <c r="D76" s="216" t="s">
        <v>802</v>
      </c>
      <c r="E76" s="216" t="s">
        <v>1999</v>
      </c>
      <c r="F76" s="216" t="s">
        <v>2000</v>
      </c>
      <c r="G76" s="216" t="s">
        <v>2002</v>
      </c>
      <c r="H76" s="216" t="s">
        <v>2001</v>
      </c>
    </row>
    <row r="77" spans="1:8" ht="23" x14ac:dyDescent="0.25">
      <c r="A77" s="216" t="s">
        <v>2826</v>
      </c>
      <c r="B77" s="216" t="s">
        <v>2018</v>
      </c>
      <c r="C77" s="220" t="s">
        <v>395</v>
      </c>
      <c r="D77" s="216" t="s">
        <v>28</v>
      </c>
      <c r="E77" s="216" t="s">
        <v>2021</v>
      </c>
      <c r="F77" s="226" t="s">
        <v>2022</v>
      </c>
      <c r="G77" s="216" t="s">
        <v>2023</v>
      </c>
      <c r="H77" s="216" t="s">
        <v>2024</v>
      </c>
    </row>
    <row r="78" spans="1:8" ht="23" x14ac:dyDescent="0.25">
      <c r="A78" s="216" t="s">
        <v>2826</v>
      </c>
      <c r="B78" s="216" t="s">
        <v>2019</v>
      </c>
      <c r="C78" s="220" t="s">
        <v>395</v>
      </c>
      <c r="D78" s="216" t="s">
        <v>29</v>
      </c>
      <c r="E78" s="216" t="s">
        <v>2025</v>
      </c>
      <c r="F78" s="226" t="s">
        <v>2026</v>
      </c>
      <c r="G78" s="216" t="s">
        <v>2027</v>
      </c>
      <c r="H78" s="216" t="s">
        <v>2028</v>
      </c>
    </row>
    <row r="79" spans="1:8" ht="23" x14ac:dyDescent="0.25">
      <c r="A79" s="216" t="s">
        <v>2826</v>
      </c>
      <c r="B79" s="216" t="s">
        <v>2020</v>
      </c>
      <c r="C79" s="220" t="s">
        <v>395</v>
      </c>
      <c r="D79" s="216" t="s">
        <v>578</v>
      </c>
      <c r="E79" s="216" t="s">
        <v>2029</v>
      </c>
      <c r="F79" s="226" t="s">
        <v>2505</v>
      </c>
      <c r="G79" s="216" t="s">
        <v>1986</v>
      </c>
      <c r="H79" s="216" t="s">
        <v>1930</v>
      </c>
    </row>
    <row r="80" spans="1:8" ht="46" x14ac:dyDescent="0.25">
      <c r="A80" s="216" t="s">
        <v>2826</v>
      </c>
      <c r="B80" s="216" t="s">
        <v>2030</v>
      </c>
      <c r="C80" s="220" t="s">
        <v>395</v>
      </c>
      <c r="D80" s="216" t="s">
        <v>2032</v>
      </c>
      <c r="E80" s="216" t="s">
        <v>2084</v>
      </c>
      <c r="F80" s="226" t="s">
        <v>2827</v>
      </c>
      <c r="G80" s="216" t="s">
        <v>2085</v>
      </c>
      <c r="H80" s="227" t="s">
        <v>2033</v>
      </c>
    </row>
    <row r="81" spans="1:8" ht="23" x14ac:dyDescent="0.25">
      <c r="A81" s="216" t="s">
        <v>2826</v>
      </c>
      <c r="B81" s="216" t="s">
        <v>2031</v>
      </c>
      <c r="C81" s="220" t="s">
        <v>395</v>
      </c>
      <c r="D81" s="216" t="s">
        <v>2032</v>
      </c>
      <c r="E81" s="216" t="s">
        <v>2090</v>
      </c>
      <c r="F81" s="225" t="s">
        <v>2501</v>
      </c>
      <c r="G81" s="216" t="s">
        <v>2091</v>
      </c>
      <c r="H81" s="226" t="s">
        <v>2034</v>
      </c>
    </row>
    <row r="82" spans="1:8" ht="23" x14ac:dyDescent="0.25">
      <c r="A82" s="216" t="s">
        <v>2652</v>
      </c>
      <c r="B82" s="216" t="s">
        <v>2766</v>
      </c>
      <c r="C82" s="220" t="s">
        <v>431</v>
      </c>
      <c r="D82" s="216"/>
      <c r="E82" s="216" t="s">
        <v>2771</v>
      </c>
      <c r="F82" s="216" t="s">
        <v>2772</v>
      </c>
      <c r="G82" s="216" t="s">
        <v>1986</v>
      </c>
      <c r="H82" s="216" t="s">
        <v>1930</v>
      </c>
    </row>
    <row r="83" spans="1:8" ht="23" x14ac:dyDescent="0.25">
      <c r="A83" s="216" t="s">
        <v>2652</v>
      </c>
      <c r="B83" s="216" t="s">
        <v>2768</v>
      </c>
      <c r="C83" s="220" t="s">
        <v>431</v>
      </c>
      <c r="D83" s="216" t="s">
        <v>2682</v>
      </c>
      <c r="E83" s="216" t="s">
        <v>2773</v>
      </c>
      <c r="F83" s="216" t="s">
        <v>2774</v>
      </c>
      <c r="G83" s="216" t="s">
        <v>2775</v>
      </c>
      <c r="H83" s="216" t="s">
        <v>2776</v>
      </c>
    </row>
    <row r="84" spans="1:8" ht="34.5" x14ac:dyDescent="0.25">
      <c r="A84" s="216" t="s">
        <v>2652</v>
      </c>
      <c r="B84" s="216" t="s">
        <v>2767</v>
      </c>
      <c r="C84" s="220" t="s">
        <v>431</v>
      </c>
      <c r="D84" s="216" t="s">
        <v>2763</v>
      </c>
      <c r="E84" s="216" t="s">
        <v>2783</v>
      </c>
      <c r="F84" s="227" t="s">
        <v>2784</v>
      </c>
      <c r="G84" s="216" t="s">
        <v>2785</v>
      </c>
      <c r="H84" s="216" t="s">
        <v>2786</v>
      </c>
    </row>
    <row r="85" spans="1:8" ht="23" x14ac:dyDescent="0.25">
      <c r="A85" s="216" t="s">
        <v>2652</v>
      </c>
      <c r="B85" s="216" t="s">
        <v>2787</v>
      </c>
      <c r="C85" s="220" t="s">
        <v>2828</v>
      </c>
      <c r="D85" s="216"/>
      <c r="E85" s="216" t="s">
        <v>2788</v>
      </c>
      <c r="F85" s="225" t="s">
        <v>2789</v>
      </c>
      <c r="G85" s="216" t="s">
        <v>2790</v>
      </c>
      <c r="H85" s="216" t="s">
        <v>2791</v>
      </c>
    </row>
    <row r="86" spans="1:8" ht="23" x14ac:dyDescent="0.25">
      <c r="A86" s="216" t="s">
        <v>2652</v>
      </c>
      <c r="B86" s="216" t="s">
        <v>2792</v>
      </c>
      <c r="C86" s="220" t="s">
        <v>2828</v>
      </c>
      <c r="D86" s="216" t="s">
        <v>73</v>
      </c>
      <c r="E86" s="216" t="s">
        <v>2794</v>
      </c>
      <c r="F86" s="225" t="s">
        <v>2796</v>
      </c>
      <c r="G86" s="216" t="s">
        <v>2797</v>
      </c>
      <c r="H86" s="227" t="s">
        <v>2798</v>
      </c>
    </row>
    <row r="87" spans="1:8" ht="23" x14ac:dyDescent="0.25">
      <c r="A87" s="216" t="s">
        <v>2652</v>
      </c>
      <c r="B87" s="216" t="s">
        <v>2793</v>
      </c>
      <c r="C87" s="220" t="s">
        <v>2828</v>
      </c>
      <c r="D87" s="216" t="s">
        <v>58</v>
      </c>
      <c r="E87" s="216" t="s">
        <v>2795</v>
      </c>
      <c r="F87" s="225" t="s">
        <v>2799</v>
      </c>
      <c r="G87" s="216" t="s">
        <v>2800</v>
      </c>
      <c r="H87" s="216" t="s">
        <v>2801</v>
      </c>
    </row>
    <row r="88" spans="1:8" ht="23" x14ac:dyDescent="0.25">
      <c r="A88" s="216" t="s">
        <v>2652</v>
      </c>
      <c r="B88" s="216" t="s">
        <v>2802</v>
      </c>
      <c r="C88" s="220" t="s">
        <v>362</v>
      </c>
      <c r="D88" s="216" t="s">
        <v>2671</v>
      </c>
      <c r="E88" s="216" t="s">
        <v>2805</v>
      </c>
      <c r="F88" s="227" t="s">
        <v>2807</v>
      </c>
      <c r="G88" s="216" t="s">
        <v>2809</v>
      </c>
      <c r="H88" s="225" t="s">
        <v>2811</v>
      </c>
    </row>
    <row r="89" spans="1:8" ht="23" x14ac:dyDescent="0.25">
      <c r="A89" s="216" t="s">
        <v>2652</v>
      </c>
      <c r="B89" s="216" t="s">
        <v>2803</v>
      </c>
      <c r="C89" s="220" t="s">
        <v>362</v>
      </c>
      <c r="D89" s="216" t="s">
        <v>1939</v>
      </c>
      <c r="E89" s="216" t="s">
        <v>2806</v>
      </c>
      <c r="F89" s="227" t="s">
        <v>2808</v>
      </c>
      <c r="G89" s="216" t="s">
        <v>2810</v>
      </c>
      <c r="H89" s="216" t="s">
        <v>2812</v>
      </c>
    </row>
    <row r="90" spans="1:8" ht="23" x14ac:dyDescent="0.25">
      <c r="A90" s="216" t="s">
        <v>2652</v>
      </c>
      <c r="B90" s="216" t="s">
        <v>2804</v>
      </c>
      <c r="C90" s="220" t="s">
        <v>362</v>
      </c>
      <c r="D90" s="216" t="s">
        <v>93</v>
      </c>
      <c r="E90" s="216" t="s">
        <v>2814</v>
      </c>
      <c r="F90" s="227" t="s">
        <v>2816</v>
      </c>
      <c r="G90" s="216" t="s">
        <v>2817</v>
      </c>
      <c r="H90" s="226" t="s">
        <v>2818</v>
      </c>
    </row>
    <row r="91" spans="1:8" ht="34.5" x14ac:dyDescent="0.25">
      <c r="A91" s="216" t="s">
        <v>2652</v>
      </c>
      <c r="B91" s="216" t="s">
        <v>2813</v>
      </c>
      <c r="C91" s="220" t="s">
        <v>395</v>
      </c>
      <c r="D91" s="216" t="s">
        <v>122</v>
      </c>
      <c r="E91" s="216" t="s">
        <v>2815</v>
      </c>
      <c r="F91" s="226" t="s">
        <v>2819</v>
      </c>
      <c r="G91" s="216" t="s">
        <v>2820</v>
      </c>
      <c r="H91" s="216" t="s">
        <v>2821</v>
      </c>
    </row>
    <row r="92" spans="1:8" ht="23" x14ac:dyDescent="0.25">
      <c r="A92" s="216" t="s">
        <v>2652</v>
      </c>
      <c r="B92" s="216" t="s">
        <v>2769</v>
      </c>
      <c r="C92" s="220" t="s">
        <v>395</v>
      </c>
      <c r="D92" s="216" t="s">
        <v>1436</v>
      </c>
      <c r="E92" s="216" t="s">
        <v>2777</v>
      </c>
      <c r="F92" s="227" t="s">
        <v>2778</v>
      </c>
      <c r="G92" s="216" t="s">
        <v>2782</v>
      </c>
      <c r="H92" s="226" t="s">
        <v>375</v>
      </c>
    </row>
    <row r="93" spans="1:8" ht="23" x14ac:dyDescent="0.25">
      <c r="A93" s="216" t="s">
        <v>2652</v>
      </c>
      <c r="B93" s="216" t="s">
        <v>2770</v>
      </c>
      <c r="C93" s="220" t="s">
        <v>395</v>
      </c>
      <c r="D93" s="216"/>
      <c r="E93" s="216" t="s">
        <v>2779</v>
      </c>
      <c r="F93" s="226" t="s">
        <v>2780</v>
      </c>
      <c r="G93" s="216" t="s">
        <v>2781</v>
      </c>
      <c r="H93" s="216" t="s">
        <v>411</v>
      </c>
    </row>
  </sheetData>
  <autoFilter ref="A1:H93" xr:uid="{00000000-0001-0000-0300-000000000000}"/>
  <sortState xmlns:xlrd2="http://schemas.microsoft.com/office/spreadsheetml/2017/richdata2" ref="A2:H94">
    <sortCondition ref="A2:A94"/>
    <sortCondition ref="C2:C94"/>
    <sortCondition ref="B2:B94"/>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L89"/>
  <sheetViews>
    <sheetView zoomScaleNormal="100" workbookViewId="0">
      <pane ySplit="1" topLeftCell="A2" activePane="bottomLeft" state="frozen"/>
      <selection pane="bottomLeft"/>
    </sheetView>
  </sheetViews>
  <sheetFormatPr defaultColWidth="32.90625" defaultRowHeight="11.5" x14ac:dyDescent="0.35"/>
  <cols>
    <col min="1" max="1" width="12" style="220" bestFit="1" customWidth="1"/>
    <col min="2" max="2" width="10" style="220" bestFit="1" customWidth="1"/>
    <col min="3" max="3" width="9.453125" style="220" bestFit="1" customWidth="1"/>
    <col min="4" max="4" width="9.453125" style="220" customWidth="1"/>
    <col min="5" max="5" width="24.90625" style="250" bestFit="1" customWidth="1"/>
    <col min="6" max="6" width="11.54296875" style="220" bestFit="1" customWidth="1"/>
    <col min="7" max="7" width="11" style="220" bestFit="1" customWidth="1"/>
    <col min="8" max="8" width="8.54296875" style="220" bestFit="1" customWidth="1"/>
    <col min="9" max="9" width="21.6328125" style="250" bestFit="1" customWidth="1"/>
    <col min="10" max="10" width="32.54296875" style="250" bestFit="1" customWidth="1"/>
    <col min="11" max="11" width="22.36328125" style="250" bestFit="1" customWidth="1"/>
    <col min="12" max="12" width="32.54296875" style="250" bestFit="1" customWidth="1"/>
    <col min="13" max="16384" width="32.90625" style="250"/>
  </cols>
  <sheetData>
    <row r="1" spans="1:12" s="249" customFormat="1" x14ac:dyDescent="0.35">
      <c r="A1" s="248" t="s">
        <v>761</v>
      </c>
      <c r="B1" s="248" t="s">
        <v>791</v>
      </c>
      <c r="C1" s="248" t="s">
        <v>2063</v>
      </c>
      <c r="D1" s="248" t="s">
        <v>2765</v>
      </c>
      <c r="E1" s="240" t="s">
        <v>0</v>
      </c>
      <c r="F1" s="259" t="s">
        <v>563</v>
      </c>
      <c r="G1" s="259" t="s">
        <v>564</v>
      </c>
      <c r="H1" s="259" t="s">
        <v>952</v>
      </c>
      <c r="I1" s="240" t="s">
        <v>330</v>
      </c>
      <c r="J1" s="240" t="s">
        <v>153</v>
      </c>
      <c r="K1" s="240" t="s">
        <v>331</v>
      </c>
      <c r="L1" s="240" t="s">
        <v>153</v>
      </c>
    </row>
    <row r="2" spans="1:12" ht="23" x14ac:dyDescent="0.35">
      <c r="A2" s="220">
        <v>2</v>
      </c>
      <c r="E2" s="216" t="s">
        <v>505</v>
      </c>
      <c r="F2" s="220">
        <v>1</v>
      </c>
      <c r="G2" s="220">
        <v>1</v>
      </c>
      <c r="I2" s="217" t="s">
        <v>506</v>
      </c>
      <c r="J2" s="256" t="s">
        <v>596</v>
      </c>
      <c r="K2" s="217" t="s">
        <v>1925</v>
      </c>
      <c r="L2" s="256" t="s">
        <v>485</v>
      </c>
    </row>
    <row r="3" spans="1:12" ht="23" x14ac:dyDescent="0.35">
      <c r="D3" s="220">
        <v>1</v>
      </c>
      <c r="E3" s="216" t="s">
        <v>2855</v>
      </c>
      <c r="G3" s="220">
        <v>1</v>
      </c>
      <c r="I3" s="217" t="s">
        <v>2857</v>
      </c>
      <c r="J3" s="260" t="s">
        <v>502</v>
      </c>
      <c r="K3" s="217" t="s">
        <v>2859</v>
      </c>
      <c r="L3" s="256" t="s">
        <v>2861</v>
      </c>
    </row>
    <row r="4" spans="1:12" ht="23" x14ac:dyDescent="0.35">
      <c r="D4" s="220">
        <v>1</v>
      </c>
      <c r="E4" s="216" t="s">
        <v>2876</v>
      </c>
      <c r="H4" s="220">
        <v>1</v>
      </c>
      <c r="I4" s="217" t="s">
        <v>2878</v>
      </c>
      <c r="J4" s="256" t="s">
        <v>2881</v>
      </c>
      <c r="K4" s="217" t="s">
        <v>2882</v>
      </c>
      <c r="L4" s="256" t="s">
        <v>2885</v>
      </c>
    </row>
    <row r="5" spans="1:12" ht="34.5" x14ac:dyDescent="0.35">
      <c r="A5" s="220">
        <v>1</v>
      </c>
      <c r="E5" s="216" t="s">
        <v>559</v>
      </c>
      <c r="G5" s="220">
        <v>1</v>
      </c>
      <c r="I5" s="217" t="s">
        <v>560</v>
      </c>
      <c r="J5" s="256" t="s">
        <v>561</v>
      </c>
      <c r="K5" s="217" t="s">
        <v>562</v>
      </c>
      <c r="L5" s="257" t="s">
        <v>2516</v>
      </c>
    </row>
    <row r="6" spans="1:12" ht="23" x14ac:dyDescent="0.35">
      <c r="A6" s="220">
        <v>1</v>
      </c>
      <c r="E6" s="216" t="s">
        <v>481</v>
      </c>
      <c r="F6" s="220">
        <v>1</v>
      </c>
      <c r="I6" s="217" t="s">
        <v>482</v>
      </c>
      <c r="J6" s="256" t="s">
        <v>483</v>
      </c>
      <c r="K6" s="217" t="s">
        <v>484</v>
      </c>
      <c r="L6" s="256" t="s">
        <v>485</v>
      </c>
    </row>
    <row r="7" spans="1:12" ht="23" x14ac:dyDescent="0.35">
      <c r="B7" s="220">
        <v>1</v>
      </c>
      <c r="E7" s="216" t="s">
        <v>969</v>
      </c>
      <c r="H7" s="220">
        <v>1</v>
      </c>
      <c r="I7" s="217" t="s">
        <v>970</v>
      </c>
      <c r="J7" s="256" t="s">
        <v>485</v>
      </c>
      <c r="K7" s="217" t="s">
        <v>971</v>
      </c>
      <c r="L7" s="256" t="s">
        <v>972</v>
      </c>
    </row>
    <row r="8" spans="1:12" ht="46" x14ac:dyDescent="0.35">
      <c r="C8" s="220">
        <v>1</v>
      </c>
      <c r="E8" s="216" t="s">
        <v>1522</v>
      </c>
      <c r="F8" s="220">
        <v>1</v>
      </c>
      <c r="I8" s="217" t="s">
        <v>1523</v>
      </c>
      <c r="J8" s="256" t="s">
        <v>1524</v>
      </c>
      <c r="K8" s="217" t="s">
        <v>1525</v>
      </c>
      <c r="L8" s="258" t="s">
        <v>2515</v>
      </c>
    </row>
    <row r="9" spans="1:12" ht="23" x14ac:dyDescent="0.35">
      <c r="A9" s="220">
        <v>1</v>
      </c>
      <c r="E9" s="216" t="s">
        <v>515</v>
      </c>
      <c r="F9" s="220">
        <v>1</v>
      </c>
      <c r="I9" s="217" t="s">
        <v>516</v>
      </c>
      <c r="J9" s="219" t="s">
        <v>517</v>
      </c>
      <c r="K9" s="217"/>
      <c r="L9" s="219"/>
    </row>
    <row r="10" spans="1:12" ht="34.5" x14ac:dyDescent="0.35">
      <c r="A10" s="220">
        <v>1</v>
      </c>
      <c r="E10" s="216" t="s">
        <v>507</v>
      </c>
      <c r="F10" s="220">
        <v>1</v>
      </c>
      <c r="I10" s="217" t="s">
        <v>508</v>
      </c>
      <c r="J10" s="256" t="s">
        <v>1770</v>
      </c>
      <c r="K10" s="217" t="s">
        <v>509</v>
      </c>
      <c r="L10" s="219" t="s">
        <v>510</v>
      </c>
    </row>
    <row r="11" spans="1:12" ht="34.5" x14ac:dyDescent="0.35">
      <c r="C11" s="220">
        <v>2</v>
      </c>
      <c r="E11" s="216" t="s">
        <v>1512</v>
      </c>
      <c r="F11" s="220">
        <v>2</v>
      </c>
      <c r="I11" s="217"/>
      <c r="J11" s="256" t="s">
        <v>1519</v>
      </c>
      <c r="K11" s="217"/>
      <c r="L11" s="256"/>
    </row>
    <row r="12" spans="1:12" ht="34.5" x14ac:dyDescent="0.35">
      <c r="C12" s="220">
        <v>1</v>
      </c>
      <c r="E12" s="216" t="s">
        <v>1510</v>
      </c>
      <c r="F12" s="220">
        <v>1</v>
      </c>
      <c r="I12" s="217" t="s">
        <v>1513</v>
      </c>
      <c r="J12" s="256" t="s">
        <v>1514</v>
      </c>
      <c r="K12" s="217" t="s">
        <v>1515</v>
      </c>
      <c r="L12" s="262" t="s">
        <v>2514</v>
      </c>
    </row>
    <row r="13" spans="1:12" ht="23" x14ac:dyDescent="0.35">
      <c r="C13" s="220">
        <v>1</v>
      </c>
      <c r="E13" s="216" t="s">
        <v>1584</v>
      </c>
      <c r="H13" s="220">
        <v>1</v>
      </c>
      <c r="I13" s="217" t="s">
        <v>1585</v>
      </c>
      <c r="J13" s="256" t="s">
        <v>1586</v>
      </c>
      <c r="K13" s="217" t="s">
        <v>1587</v>
      </c>
      <c r="L13" s="256" t="s">
        <v>1588</v>
      </c>
    </row>
    <row r="14" spans="1:12" ht="23" x14ac:dyDescent="0.35">
      <c r="C14" s="220">
        <v>1</v>
      </c>
      <c r="E14" s="216" t="s">
        <v>1528</v>
      </c>
      <c r="G14" s="220">
        <v>1</v>
      </c>
      <c r="I14" s="217" t="s">
        <v>1531</v>
      </c>
      <c r="J14" s="256" t="s">
        <v>1532</v>
      </c>
      <c r="K14" s="217" t="s">
        <v>1533</v>
      </c>
      <c r="L14" s="256" t="s">
        <v>1534</v>
      </c>
    </row>
    <row r="15" spans="1:12" ht="34.5" x14ac:dyDescent="0.35">
      <c r="C15" s="220">
        <v>1</v>
      </c>
      <c r="E15" s="216" t="s">
        <v>1511</v>
      </c>
      <c r="F15" s="220">
        <v>1</v>
      </c>
      <c r="I15" s="217" t="s">
        <v>1516</v>
      </c>
      <c r="J15" s="256" t="s">
        <v>1517</v>
      </c>
      <c r="K15" s="217" t="s">
        <v>1518</v>
      </c>
      <c r="L15" s="262" t="s">
        <v>2513</v>
      </c>
    </row>
    <row r="16" spans="1:12" ht="23" x14ac:dyDescent="0.35">
      <c r="D16" s="220">
        <v>1</v>
      </c>
      <c r="E16" s="216" t="s">
        <v>2831</v>
      </c>
      <c r="F16" s="220">
        <v>1</v>
      </c>
      <c r="I16" s="217" t="s">
        <v>2833</v>
      </c>
      <c r="J16" s="256" t="s">
        <v>533</v>
      </c>
      <c r="K16" s="217" t="s">
        <v>2835</v>
      </c>
      <c r="L16" s="256" t="s">
        <v>2836</v>
      </c>
    </row>
    <row r="17" spans="1:12" ht="23" x14ac:dyDescent="0.35">
      <c r="B17" s="220">
        <v>1</v>
      </c>
      <c r="E17" s="216" t="s">
        <v>976</v>
      </c>
      <c r="H17" s="220">
        <v>1</v>
      </c>
      <c r="I17" s="217" t="s">
        <v>977</v>
      </c>
      <c r="J17" s="256" t="s">
        <v>978</v>
      </c>
      <c r="K17" s="217" t="s">
        <v>979</v>
      </c>
      <c r="L17" s="260" t="s">
        <v>539</v>
      </c>
    </row>
    <row r="18" spans="1:12" ht="23" x14ac:dyDescent="0.35">
      <c r="C18" s="220">
        <v>1</v>
      </c>
      <c r="E18" s="216" t="s">
        <v>1497</v>
      </c>
      <c r="F18" s="220">
        <v>1</v>
      </c>
      <c r="I18" s="217" t="s">
        <v>1500</v>
      </c>
      <c r="J18" s="256" t="s">
        <v>1501</v>
      </c>
      <c r="K18" s="217" t="s">
        <v>1502</v>
      </c>
      <c r="L18" s="256" t="s">
        <v>1722</v>
      </c>
    </row>
    <row r="19" spans="1:12" ht="34.5" x14ac:dyDescent="0.35">
      <c r="A19" s="220">
        <v>4</v>
      </c>
      <c r="C19" s="220">
        <v>1</v>
      </c>
      <c r="E19" s="216" t="s">
        <v>1369</v>
      </c>
      <c r="F19" s="220">
        <v>5</v>
      </c>
      <c r="I19" s="217"/>
      <c r="J19" s="256" t="s">
        <v>475</v>
      </c>
      <c r="K19" s="217"/>
      <c r="L19" s="219"/>
    </row>
    <row r="20" spans="1:12" ht="23" x14ac:dyDescent="0.35">
      <c r="A20" s="220">
        <v>2</v>
      </c>
      <c r="E20" s="216" t="s">
        <v>476</v>
      </c>
      <c r="F20" s="220">
        <v>2</v>
      </c>
      <c r="I20" s="217" t="s">
        <v>477</v>
      </c>
      <c r="J20" s="256" t="s">
        <v>478</v>
      </c>
      <c r="K20" s="217" t="s">
        <v>479</v>
      </c>
      <c r="L20" s="256" t="s">
        <v>480</v>
      </c>
    </row>
    <row r="21" spans="1:12" ht="46" x14ac:dyDescent="0.35">
      <c r="C21" s="220">
        <v>1</v>
      </c>
      <c r="E21" s="216" t="s">
        <v>1574</v>
      </c>
      <c r="H21" s="220">
        <v>1</v>
      </c>
      <c r="I21" s="217" t="s">
        <v>1577</v>
      </c>
      <c r="J21" s="256" t="s">
        <v>485</v>
      </c>
      <c r="K21" s="217" t="s">
        <v>1578</v>
      </c>
      <c r="L21" s="256" t="s">
        <v>1579</v>
      </c>
    </row>
    <row r="22" spans="1:12" ht="34.5" x14ac:dyDescent="0.35">
      <c r="C22" s="220">
        <v>1</v>
      </c>
      <c r="E22" s="216" t="s">
        <v>1542</v>
      </c>
      <c r="G22" s="220">
        <v>1</v>
      </c>
      <c r="I22" s="217" t="s">
        <v>1543</v>
      </c>
      <c r="J22" s="256" t="s">
        <v>485</v>
      </c>
      <c r="K22" s="217" t="s">
        <v>1713</v>
      </c>
      <c r="L22" s="260" t="s">
        <v>2512</v>
      </c>
    </row>
    <row r="23" spans="1:12" x14ac:dyDescent="0.35">
      <c r="A23" s="220">
        <v>2</v>
      </c>
      <c r="E23" s="216" t="s">
        <v>525</v>
      </c>
      <c r="G23" s="220">
        <v>2</v>
      </c>
      <c r="I23" s="217" t="s">
        <v>526</v>
      </c>
      <c r="J23" s="256" t="s">
        <v>527</v>
      </c>
      <c r="K23" s="217" t="s">
        <v>528</v>
      </c>
      <c r="L23" s="256" t="s">
        <v>485</v>
      </c>
    </row>
    <row r="24" spans="1:12" ht="34.5" x14ac:dyDescent="0.35">
      <c r="D24" s="220">
        <v>1</v>
      </c>
      <c r="E24" s="216" t="s">
        <v>2856</v>
      </c>
      <c r="G24" s="220">
        <v>1</v>
      </c>
      <c r="I24" s="217" t="s">
        <v>2858</v>
      </c>
      <c r="J24" s="219" t="s">
        <v>2852</v>
      </c>
      <c r="K24" s="217" t="s">
        <v>2860</v>
      </c>
      <c r="L24" s="258" t="s">
        <v>2862</v>
      </c>
    </row>
    <row r="25" spans="1:12" ht="23" x14ac:dyDescent="0.35">
      <c r="A25" s="220">
        <v>1</v>
      </c>
      <c r="E25" s="216" t="s">
        <v>486</v>
      </c>
      <c r="F25" s="220">
        <v>1</v>
      </c>
      <c r="I25" s="217" t="s">
        <v>487</v>
      </c>
      <c r="J25" s="256" t="s">
        <v>488</v>
      </c>
      <c r="K25" s="217" t="s">
        <v>489</v>
      </c>
      <c r="L25" s="256" t="s">
        <v>490</v>
      </c>
    </row>
    <row r="26" spans="1:12" ht="34.5" x14ac:dyDescent="0.35">
      <c r="C26" s="220">
        <v>4</v>
      </c>
      <c r="E26" s="216" t="s">
        <v>1711</v>
      </c>
      <c r="F26" s="220">
        <v>1</v>
      </c>
      <c r="G26" s="220">
        <v>2</v>
      </c>
      <c r="H26" s="220">
        <v>1</v>
      </c>
      <c r="I26" s="217"/>
      <c r="J26" s="256" t="s">
        <v>1527</v>
      </c>
      <c r="K26" s="217"/>
      <c r="L26" s="256"/>
    </row>
    <row r="27" spans="1:12" ht="34.5" x14ac:dyDescent="0.35">
      <c r="C27" s="220">
        <v>1</v>
      </c>
      <c r="E27" s="216" t="s">
        <v>1576</v>
      </c>
      <c r="H27" s="220">
        <v>1</v>
      </c>
      <c r="I27" s="217" t="s">
        <v>1716</v>
      </c>
      <c r="J27" s="256" t="s">
        <v>1507</v>
      </c>
      <c r="K27" s="217" t="s">
        <v>1583</v>
      </c>
      <c r="L27" s="262" t="s">
        <v>2511</v>
      </c>
    </row>
    <row r="28" spans="1:12" ht="23" x14ac:dyDescent="0.35">
      <c r="C28" s="220">
        <v>1</v>
      </c>
      <c r="E28" s="216" t="s">
        <v>1492</v>
      </c>
      <c r="F28" s="220">
        <v>1</v>
      </c>
      <c r="I28" s="217" t="s">
        <v>1493</v>
      </c>
      <c r="J28" s="260" t="s">
        <v>1494</v>
      </c>
      <c r="K28" s="217" t="s">
        <v>1495</v>
      </c>
      <c r="L28" s="256" t="s">
        <v>1771</v>
      </c>
    </row>
    <row r="29" spans="1:12" ht="23" x14ac:dyDescent="0.35">
      <c r="D29" s="220">
        <v>1</v>
      </c>
      <c r="E29" s="216" t="s">
        <v>2840</v>
      </c>
      <c r="F29" s="220">
        <v>1</v>
      </c>
      <c r="I29" s="217" t="s">
        <v>2842</v>
      </c>
      <c r="J29" s="219" t="s">
        <v>2846</v>
      </c>
      <c r="K29" s="217" t="s">
        <v>2844</v>
      </c>
      <c r="L29" s="261" t="s">
        <v>2848</v>
      </c>
    </row>
    <row r="30" spans="1:12" ht="34.5" x14ac:dyDescent="0.35">
      <c r="C30" s="220">
        <v>1</v>
      </c>
      <c r="E30" s="216" t="s">
        <v>1562</v>
      </c>
      <c r="H30" s="220">
        <v>1</v>
      </c>
      <c r="I30" s="217" t="s">
        <v>1567</v>
      </c>
      <c r="J30" s="256" t="s">
        <v>1568</v>
      </c>
      <c r="K30" s="217" t="s">
        <v>1569</v>
      </c>
      <c r="L30" s="256" t="s">
        <v>1570</v>
      </c>
    </row>
    <row r="31" spans="1:12" ht="34.5" x14ac:dyDescent="0.35">
      <c r="C31" s="220">
        <v>1</v>
      </c>
      <c r="E31" s="216" t="s">
        <v>1555</v>
      </c>
      <c r="H31" s="220">
        <v>1</v>
      </c>
      <c r="I31" s="217" t="s">
        <v>1558</v>
      </c>
      <c r="J31" s="256" t="s">
        <v>1559</v>
      </c>
      <c r="K31" s="217" t="s">
        <v>1560</v>
      </c>
      <c r="L31" s="260" t="s">
        <v>2510</v>
      </c>
    </row>
    <row r="32" spans="1:12" ht="46" x14ac:dyDescent="0.35">
      <c r="C32" s="220">
        <v>1</v>
      </c>
      <c r="E32" s="216" t="s">
        <v>1561</v>
      </c>
      <c r="H32" s="220">
        <v>1</v>
      </c>
      <c r="I32" s="217" t="s">
        <v>1563</v>
      </c>
      <c r="J32" s="256" t="s">
        <v>1564</v>
      </c>
      <c r="K32" s="217" t="s">
        <v>1565</v>
      </c>
      <c r="L32" s="256" t="s">
        <v>1566</v>
      </c>
    </row>
    <row r="33" spans="1:12" ht="34.5" x14ac:dyDescent="0.35">
      <c r="A33" s="220">
        <v>1</v>
      </c>
      <c r="E33" s="216" t="s">
        <v>511</v>
      </c>
      <c r="F33" s="220">
        <v>1</v>
      </c>
      <c r="I33" s="217" t="s">
        <v>1737</v>
      </c>
      <c r="J33" s="256" t="s">
        <v>512</v>
      </c>
      <c r="K33" s="217" t="s">
        <v>513</v>
      </c>
      <c r="L33" s="257" t="s">
        <v>514</v>
      </c>
    </row>
    <row r="34" spans="1:12" ht="23" x14ac:dyDescent="0.35">
      <c r="B34" s="220">
        <v>1</v>
      </c>
      <c r="E34" s="216" t="s">
        <v>980</v>
      </c>
      <c r="H34" s="220">
        <v>1</v>
      </c>
      <c r="I34" s="217" t="s">
        <v>1899</v>
      </c>
      <c r="J34" s="256" t="s">
        <v>981</v>
      </c>
      <c r="K34" s="217" t="s">
        <v>982</v>
      </c>
      <c r="L34" s="256" t="s">
        <v>983</v>
      </c>
    </row>
    <row r="35" spans="1:12" ht="23" x14ac:dyDescent="0.35">
      <c r="A35" s="220">
        <v>1</v>
      </c>
      <c r="E35" s="216" t="s">
        <v>555</v>
      </c>
      <c r="G35" s="220">
        <v>1</v>
      </c>
      <c r="I35" s="217" t="s">
        <v>556</v>
      </c>
      <c r="J35" s="256" t="s">
        <v>485</v>
      </c>
      <c r="K35" s="217" t="s">
        <v>557</v>
      </c>
      <c r="L35" s="257" t="s">
        <v>558</v>
      </c>
    </row>
    <row r="36" spans="1:12" ht="23" x14ac:dyDescent="0.35">
      <c r="B36" s="220">
        <v>1</v>
      </c>
      <c r="E36" s="216" t="s">
        <v>1135</v>
      </c>
      <c r="H36" s="220">
        <v>1</v>
      </c>
      <c r="I36" s="217" t="s">
        <v>984</v>
      </c>
      <c r="J36" s="256" t="s">
        <v>985</v>
      </c>
      <c r="K36" s="217" t="s">
        <v>986</v>
      </c>
      <c r="L36" s="256" t="s">
        <v>485</v>
      </c>
    </row>
    <row r="37" spans="1:12" ht="46" x14ac:dyDescent="0.35">
      <c r="C37" s="220">
        <v>3</v>
      </c>
      <c r="E37" s="216" t="s">
        <v>1520</v>
      </c>
      <c r="F37" s="220">
        <v>1</v>
      </c>
      <c r="G37" s="220">
        <v>1</v>
      </c>
      <c r="H37" s="220">
        <v>1</v>
      </c>
      <c r="I37" s="217"/>
      <c r="J37" s="256" t="s">
        <v>1521</v>
      </c>
      <c r="K37" s="217"/>
      <c r="L37" s="256"/>
    </row>
    <row r="38" spans="1:12" ht="23" x14ac:dyDescent="0.35">
      <c r="C38" s="220">
        <v>1</v>
      </c>
      <c r="E38" s="216" t="s">
        <v>1544</v>
      </c>
      <c r="G38" s="220">
        <v>1</v>
      </c>
      <c r="I38" s="217" t="s">
        <v>1546</v>
      </c>
      <c r="J38" s="256" t="s">
        <v>1547</v>
      </c>
      <c r="K38" s="217" t="s">
        <v>1548</v>
      </c>
      <c r="L38" s="256" t="s">
        <v>485</v>
      </c>
    </row>
    <row r="39" spans="1:12" ht="47" x14ac:dyDescent="0.35">
      <c r="C39" s="220">
        <v>1</v>
      </c>
      <c r="E39" s="216" t="s">
        <v>1571</v>
      </c>
      <c r="H39" s="220">
        <v>1</v>
      </c>
      <c r="I39" s="217" t="s">
        <v>1572</v>
      </c>
      <c r="J39" s="256" t="s">
        <v>485</v>
      </c>
      <c r="K39" s="217" t="s">
        <v>1573</v>
      </c>
      <c r="L39" s="258" t="s">
        <v>2829</v>
      </c>
    </row>
    <row r="40" spans="1:12" ht="23" x14ac:dyDescent="0.35">
      <c r="A40" s="220">
        <v>1</v>
      </c>
      <c r="E40" s="216" t="s">
        <v>500</v>
      </c>
      <c r="F40" s="220">
        <v>1</v>
      </c>
      <c r="I40" s="217" t="s">
        <v>501</v>
      </c>
      <c r="J40" s="260" t="s">
        <v>502</v>
      </c>
      <c r="K40" s="217" t="s">
        <v>503</v>
      </c>
      <c r="L40" s="256" t="s">
        <v>504</v>
      </c>
    </row>
    <row r="41" spans="1:12" ht="46" x14ac:dyDescent="0.35">
      <c r="C41" s="220">
        <v>3</v>
      </c>
      <c r="E41" s="216" t="s">
        <v>1503</v>
      </c>
      <c r="F41" s="220">
        <v>1</v>
      </c>
      <c r="G41" s="220">
        <v>1</v>
      </c>
      <c r="H41" s="220">
        <v>1</v>
      </c>
      <c r="I41" s="217"/>
      <c r="J41" s="256" t="s">
        <v>1504</v>
      </c>
      <c r="K41" s="217"/>
      <c r="L41" s="256"/>
    </row>
    <row r="42" spans="1:12" ht="23" x14ac:dyDescent="0.35">
      <c r="D42" s="220">
        <v>1</v>
      </c>
      <c r="E42" s="216" t="s">
        <v>2877</v>
      </c>
      <c r="H42" s="220">
        <v>1</v>
      </c>
      <c r="I42" s="217" t="s">
        <v>2879</v>
      </c>
      <c r="J42" s="261" t="s">
        <v>2886</v>
      </c>
      <c r="K42" s="217" t="s">
        <v>2883</v>
      </c>
      <c r="L42" s="256" t="s">
        <v>2887</v>
      </c>
    </row>
    <row r="43" spans="1:12" ht="34.5" x14ac:dyDescent="0.35">
      <c r="B43" s="220">
        <v>1</v>
      </c>
      <c r="E43" s="216" t="s">
        <v>987</v>
      </c>
      <c r="H43" s="220">
        <v>1</v>
      </c>
      <c r="I43" s="217" t="s">
        <v>988</v>
      </c>
      <c r="J43" s="258" t="s">
        <v>2898</v>
      </c>
      <c r="K43" s="217" t="s">
        <v>479</v>
      </c>
      <c r="L43" s="256" t="s">
        <v>480</v>
      </c>
    </row>
    <row r="44" spans="1:12" ht="23" x14ac:dyDescent="0.35">
      <c r="B44" s="220">
        <v>1</v>
      </c>
      <c r="E44" s="216" t="s">
        <v>973</v>
      </c>
      <c r="H44" s="220">
        <v>1</v>
      </c>
      <c r="I44" s="217" t="s">
        <v>974</v>
      </c>
      <c r="J44" s="258" t="s">
        <v>2899</v>
      </c>
      <c r="K44" s="217" t="s">
        <v>975</v>
      </c>
      <c r="L44" s="257" t="s">
        <v>989</v>
      </c>
    </row>
    <row r="45" spans="1:12" ht="23" x14ac:dyDescent="0.35">
      <c r="A45" s="220">
        <v>1</v>
      </c>
      <c r="E45" s="216" t="s">
        <v>496</v>
      </c>
      <c r="F45" s="220">
        <v>1</v>
      </c>
      <c r="I45" s="217" t="s">
        <v>497</v>
      </c>
      <c r="J45" s="260" t="s">
        <v>498</v>
      </c>
      <c r="K45" s="217" t="s">
        <v>499</v>
      </c>
      <c r="L45" s="256" t="s">
        <v>495</v>
      </c>
    </row>
    <row r="46" spans="1:12" ht="34.5" x14ac:dyDescent="0.35">
      <c r="D46" s="220">
        <v>1</v>
      </c>
      <c r="E46" s="216" t="s">
        <v>2889</v>
      </c>
      <c r="H46" s="220">
        <v>1</v>
      </c>
      <c r="I46" s="217" t="s">
        <v>2880</v>
      </c>
      <c r="J46" s="219" t="s">
        <v>2847</v>
      </c>
      <c r="K46" s="217" t="s">
        <v>2884</v>
      </c>
      <c r="L46" s="258" t="s">
        <v>2888</v>
      </c>
    </row>
    <row r="47" spans="1:12" ht="23" x14ac:dyDescent="0.35">
      <c r="A47" s="220">
        <v>1</v>
      </c>
      <c r="E47" s="216" t="s">
        <v>529</v>
      </c>
      <c r="G47" s="220">
        <v>1</v>
      </c>
      <c r="I47" s="217" t="s">
        <v>530</v>
      </c>
      <c r="J47" s="256" t="s">
        <v>531</v>
      </c>
      <c r="K47" s="217" t="s">
        <v>532</v>
      </c>
      <c r="L47" s="256" t="s">
        <v>533</v>
      </c>
    </row>
    <row r="48" spans="1:12" ht="34.5" x14ac:dyDescent="0.35">
      <c r="A48" s="220">
        <v>1</v>
      </c>
      <c r="E48" s="216" t="s">
        <v>547</v>
      </c>
      <c r="G48" s="220">
        <v>1</v>
      </c>
      <c r="I48" s="217" t="s">
        <v>548</v>
      </c>
      <c r="J48" s="256" t="s">
        <v>531</v>
      </c>
      <c r="K48" s="217" t="s">
        <v>549</v>
      </c>
      <c r="L48" s="260" t="s">
        <v>550</v>
      </c>
    </row>
    <row r="49" spans="1:12" ht="23" x14ac:dyDescent="0.35">
      <c r="B49" s="220">
        <v>1</v>
      </c>
      <c r="E49" s="216" t="s">
        <v>992</v>
      </c>
      <c r="H49" s="220">
        <v>1</v>
      </c>
      <c r="I49" s="217" t="s">
        <v>993</v>
      </c>
      <c r="J49" s="256" t="s">
        <v>994</v>
      </c>
      <c r="K49" s="217" t="s">
        <v>991</v>
      </c>
      <c r="L49" s="260" t="s">
        <v>990</v>
      </c>
    </row>
    <row r="50" spans="1:12" ht="34.5" x14ac:dyDescent="0.35">
      <c r="C50" s="220">
        <v>1</v>
      </c>
      <c r="E50" s="216" t="s">
        <v>1575</v>
      </c>
      <c r="H50" s="220">
        <v>1</v>
      </c>
      <c r="I50" s="217" t="s">
        <v>1580</v>
      </c>
      <c r="J50" s="256" t="s">
        <v>1581</v>
      </c>
      <c r="K50" s="217" t="s">
        <v>1582</v>
      </c>
      <c r="L50" s="262" t="s">
        <v>2508</v>
      </c>
    </row>
    <row r="51" spans="1:12" ht="34.5" x14ac:dyDescent="0.35">
      <c r="B51" s="220">
        <v>1</v>
      </c>
      <c r="E51" s="216" t="s">
        <v>995</v>
      </c>
      <c r="H51" s="220">
        <v>1</v>
      </c>
      <c r="I51" s="217" t="s">
        <v>997</v>
      </c>
      <c r="J51" s="256" t="s">
        <v>998</v>
      </c>
      <c r="K51" s="217" t="s">
        <v>996</v>
      </c>
      <c r="L51" s="256" t="s">
        <v>485</v>
      </c>
    </row>
    <row r="52" spans="1:12" x14ac:dyDescent="0.35">
      <c r="C52" s="220">
        <v>1</v>
      </c>
      <c r="E52" s="216" t="s">
        <v>1554</v>
      </c>
      <c r="H52" s="220">
        <v>1</v>
      </c>
      <c r="I52" s="217" t="s">
        <v>1556</v>
      </c>
      <c r="J52" s="256" t="s">
        <v>485</v>
      </c>
      <c r="K52" s="217" t="s">
        <v>1557</v>
      </c>
      <c r="L52" s="256" t="s">
        <v>1717</v>
      </c>
    </row>
    <row r="53" spans="1:12" ht="34.5" x14ac:dyDescent="0.35">
      <c r="C53" s="220">
        <v>1</v>
      </c>
      <c r="E53" s="216" t="s">
        <v>1487</v>
      </c>
      <c r="F53" s="220">
        <v>1</v>
      </c>
      <c r="I53" s="217" t="s">
        <v>1488</v>
      </c>
      <c r="J53" s="256" t="s">
        <v>1489</v>
      </c>
      <c r="K53" s="217" t="s">
        <v>1490</v>
      </c>
      <c r="L53" s="257" t="s">
        <v>1491</v>
      </c>
    </row>
    <row r="54" spans="1:12" ht="46" x14ac:dyDescent="0.35">
      <c r="C54" s="220">
        <v>1</v>
      </c>
      <c r="E54" s="216" t="s">
        <v>1505</v>
      </c>
      <c r="F54" s="220">
        <v>1</v>
      </c>
      <c r="I54" s="217" t="s">
        <v>1506</v>
      </c>
      <c r="J54" s="256" t="s">
        <v>1507</v>
      </c>
      <c r="K54" s="217" t="s">
        <v>1508</v>
      </c>
      <c r="L54" s="256" t="s">
        <v>1509</v>
      </c>
    </row>
    <row r="55" spans="1:12" ht="34.5" x14ac:dyDescent="0.35">
      <c r="C55" s="220">
        <v>1</v>
      </c>
      <c r="E55" s="216" t="s">
        <v>1530</v>
      </c>
      <c r="G55" s="220">
        <v>1</v>
      </c>
      <c r="I55" s="217" t="s">
        <v>1539</v>
      </c>
      <c r="J55" s="256" t="s">
        <v>1540</v>
      </c>
      <c r="K55" s="217" t="s">
        <v>1541</v>
      </c>
      <c r="L55" s="262" t="s">
        <v>2509</v>
      </c>
    </row>
    <row r="56" spans="1:12" ht="46" x14ac:dyDescent="0.35">
      <c r="C56" s="220">
        <v>12</v>
      </c>
      <c r="E56" s="216" t="s">
        <v>1526</v>
      </c>
      <c r="F56" s="220">
        <v>4</v>
      </c>
      <c r="G56" s="220">
        <v>4</v>
      </c>
      <c r="H56" s="220">
        <v>4</v>
      </c>
      <c r="I56" s="217"/>
      <c r="J56" s="256" t="s">
        <v>1720</v>
      </c>
      <c r="K56" s="217"/>
      <c r="L56" s="256"/>
    </row>
    <row r="57" spans="1:12" ht="23" x14ac:dyDescent="0.35">
      <c r="A57" s="220">
        <v>1</v>
      </c>
      <c r="E57" s="216" t="s">
        <v>544</v>
      </c>
      <c r="G57" s="220">
        <v>1</v>
      </c>
      <c r="I57" s="217" t="s">
        <v>545</v>
      </c>
      <c r="J57" s="260" t="s">
        <v>546</v>
      </c>
      <c r="K57" s="217" t="s">
        <v>503</v>
      </c>
      <c r="L57" s="256" t="s">
        <v>495</v>
      </c>
    </row>
    <row r="58" spans="1:12" ht="23" x14ac:dyDescent="0.35">
      <c r="B58" s="220">
        <v>1</v>
      </c>
      <c r="E58" s="216" t="s">
        <v>968</v>
      </c>
      <c r="H58" s="220">
        <v>1</v>
      </c>
      <c r="I58" s="217" t="s">
        <v>966</v>
      </c>
      <c r="J58" s="256" t="s">
        <v>485</v>
      </c>
      <c r="K58" s="217" t="s">
        <v>1727</v>
      </c>
      <c r="L58" s="256" t="s">
        <v>967</v>
      </c>
    </row>
    <row r="59" spans="1:12" ht="34.5" x14ac:dyDescent="0.35">
      <c r="A59" s="251">
        <v>1</v>
      </c>
      <c r="B59" s="220">
        <v>1</v>
      </c>
      <c r="E59" s="216" t="s">
        <v>522</v>
      </c>
      <c r="G59" s="220">
        <v>1</v>
      </c>
      <c r="I59" s="217" t="s">
        <v>523</v>
      </c>
      <c r="J59" s="222" t="s">
        <v>954</v>
      </c>
      <c r="K59" s="217" t="s">
        <v>524</v>
      </c>
      <c r="L59" s="256" t="s">
        <v>955</v>
      </c>
    </row>
    <row r="60" spans="1:12" ht="23" x14ac:dyDescent="0.35">
      <c r="B60" s="220">
        <v>1</v>
      </c>
      <c r="E60" s="216" t="s">
        <v>961</v>
      </c>
      <c r="H60" s="220">
        <v>1</v>
      </c>
      <c r="I60" s="217" t="s">
        <v>962</v>
      </c>
      <c r="J60" s="219" t="s">
        <v>963</v>
      </c>
      <c r="K60" s="217" t="s">
        <v>964</v>
      </c>
      <c r="L60" s="256" t="s">
        <v>965</v>
      </c>
    </row>
    <row r="61" spans="1:12" ht="46" x14ac:dyDescent="0.35">
      <c r="A61" s="251">
        <v>1</v>
      </c>
      <c r="B61" s="220">
        <v>2</v>
      </c>
      <c r="C61" s="220">
        <v>1</v>
      </c>
      <c r="E61" s="216" t="s">
        <v>518</v>
      </c>
      <c r="G61" s="220">
        <v>1</v>
      </c>
      <c r="H61" s="220">
        <v>1</v>
      </c>
      <c r="I61" s="217" t="s">
        <v>519</v>
      </c>
      <c r="J61" s="218" t="s">
        <v>953</v>
      </c>
      <c r="K61" s="217" t="s">
        <v>520</v>
      </c>
      <c r="L61" s="219" t="s">
        <v>521</v>
      </c>
    </row>
    <row r="62" spans="1:12" ht="46" x14ac:dyDescent="0.35">
      <c r="A62" s="251"/>
      <c r="B62" s="220">
        <v>3</v>
      </c>
      <c r="E62" s="216" t="s">
        <v>957</v>
      </c>
      <c r="G62" s="220">
        <v>3</v>
      </c>
      <c r="I62" s="217"/>
      <c r="J62" s="256" t="s">
        <v>958</v>
      </c>
      <c r="K62" s="217"/>
      <c r="L62" s="256"/>
    </row>
    <row r="63" spans="1:12" ht="46" x14ac:dyDescent="0.35">
      <c r="B63" s="220">
        <v>3</v>
      </c>
      <c r="E63" s="216" t="s">
        <v>959</v>
      </c>
      <c r="H63" s="220">
        <v>3</v>
      </c>
      <c r="I63" s="217"/>
      <c r="J63" s="256" t="s">
        <v>960</v>
      </c>
      <c r="K63" s="217"/>
      <c r="L63" s="256"/>
    </row>
    <row r="64" spans="1:12" ht="34.5" x14ac:dyDescent="0.35">
      <c r="A64" s="251">
        <v>8</v>
      </c>
      <c r="B64" s="220">
        <v>5</v>
      </c>
      <c r="C64" s="220">
        <v>2</v>
      </c>
      <c r="E64" s="216" t="s">
        <v>2122</v>
      </c>
      <c r="G64" s="220">
        <v>7</v>
      </c>
      <c r="I64" s="217"/>
      <c r="J64" s="256" t="s">
        <v>956</v>
      </c>
      <c r="K64" s="217"/>
      <c r="L64" s="219"/>
    </row>
    <row r="65" spans="1:12" ht="34.5" x14ac:dyDescent="0.35">
      <c r="B65" s="220">
        <v>6</v>
      </c>
      <c r="C65" s="220">
        <v>2</v>
      </c>
      <c r="E65" s="216" t="s">
        <v>2121</v>
      </c>
      <c r="H65" s="220">
        <v>8</v>
      </c>
      <c r="I65" s="217"/>
      <c r="J65" s="256" t="s">
        <v>956</v>
      </c>
      <c r="K65" s="217"/>
      <c r="L65" s="219"/>
    </row>
    <row r="66" spans="1:12" ht="46" x14ac:dyDescent="0.35">
      <c r="C66" s="220">
        <v>1</v>
      </c>
      <c r="E66" s="216" t="s">
        <v>1496</v>
      </c>
      <c r="F66" s="220">
        <v>1</v>
      </c>
      <c r="I66" s="217" t="s">
        <v>1498</v>
      </c>
      <c r="J66" s="219" t="s">
        <v>1712</v>
      </c>
      <c r="K66" s="217" t="s">
        <v>1499</v>
      </c>
      <c r="L66" s="256" t="s">
        <v>485</v>
      </c>
    </row>
    <row r="67" spans="1:12" ht="23" x14ac:dyDescent="0.35">
      <c r="D67" s="220">
        <v>1</v>
      </c>
      <c r="E67" s="216" t="s">
        <v>2841</v>
      </c>
      <c r="F67" s="220">
        <v>1</v>
      </c>
      <c r="I67" s="217" t="s">
        <v>2843</v>
      </c>
      <c r="J67" s="219" t="s">
        <v>2847</v>
      </c>
      <c r="K67" s="217" t="s">
        <v>2845</v>
      </c>
      <c r="L67" s="256" t="s">
        <v>2849</v>
      </c>
    </row>
    <row r="68" spans="1:12" ht="23" x14ac:dyDescent="0.35">
      <c r="A68" s="220">
        <v>1</v>
      </c>
      <c r="E68" s="216" t="s">
        <v>541</v>
      </c>
      <c r="G68" s="220">
        <v>1</v>
      </c>
      <c r="I68" s="217" t="s">
        <v>542</v>
      </c>
      <c r="J68" s="260" t="s">
        <v>502</v>
      </c>
      <c r="K68" s="217" t="s">
        <v>543</v>
      </c>
      <c r="L68" s="256" t="s">
        <v>504</v>
      </c>
    </row>
    <row r="69" spans="1:12" ht="23" x14ac:dyDescent="0.35">
      <c r="A69" s="220">
        <v>1</v>
      </c>
      <c r="E69" s="216" t="s">
        <v>551</v>
      </c>
      <c r="G69" s="220">
        <v>1</v>
      </c>
      <c r="I69" s="217" t="s">
        <v>552</v>
      </c>
      <c r="J69" s="260" t="s">
        <v>1735</v>
      </c>
      <c r="K69" s="217" t="s">
        <v>553</v>
      </c>
      <c r="L69" s="257" t="s">
        <v>554</v>
      </c>
    </row>
    <row r="70" spans="1:12" ht="34.5" x14ac:dyDescent="0.35">
      <c r="D70" s="220">
        <v>1</v>
      </c>
      <c r="E70" s="216" t="s">
        <v>2890</v>
      </c>
      <c r="H70" s="220">
        <v>1</v>
      </c>
      <c r="I70" s="217" t="s">
        <v>2892</v>
      </c>
      <c r="J70" s="256" t="s">
        <v>485</v>
      </c>
      <c r="K70" s="217" t="s">
        <v>2895</v>
      </c>
      <c r="L70" s="256" t="s">
        <v>2897</v>
      </c>
    </row>
    <row r="71" spans="1:12" ht="23" x14ac:dyDescent="0.35">
      <c r="C71" s="220">
        <v>2</v>
      </c>
      <c r="E71" s="216" t="s">
        <v>1545</v>
      </c>
      <c r="G71" s="220">
        <v>1</v>
      </c>
      <c r="H71" s="220">
        <v>1</v>
      </c>
      <c r="I71" s="217" t="s">
        <v>1549</v>
      </c>
      <c r="J71" s="260" t="s">
        <v>1553</v>
      </c>
      <c r="K71" s="217" t="s">
        <v>1714</v>
      </c>
      <c r="L71" s="256" t="s">
        <v>1719</v>
      </c>
    </row>
    <row r="72" spans="1:12" ht="34.5" x14ac:dyDescent="0.35">
      <c r="A72" s="220">
        <v>1</v>
      </c>
      <c r="E72" s="216" t="s">
        <v>534</v>
      </c>
      <c r="G72" s="220">
        <v>1</v>
      </c>
      <c r="I72" s="217" t="s">
        <v>535</v>
      </c>
      <c r="J72" s="260" t="s">
        <v>599</v>
      </c>
      <c r="K72" s="217" t="s">
        <v>536</v>
      </c>
      <c r="L72" s="256" t="s">
        <v>485</v>
      </c>
    </row>
    <row r="73" spans="1:12" ht="34.5" x14ac:dyDescent="0.35">
      <c r="D73" s="220">
        <v>1</v>
      </c>
      <c r="E73" s="216" t="s">
        <v>2863</v>
      </c>
      <c r="G73" s="220">
        <v>1</v>
      </c>
      <c r="I73" s="217" t="s">
        <v>2865</v>
      </c>
      <c r="J73" s="256" t="s">
        <v>485</v>
      </c>
      <c r="K73" s="217" t="s">
        <v>2867</v>
      </c>
      <c r="L73" s="256" t="s">
        <v>2870</v>
      </c>
    </row>
    <row r="74" spans="1:12" ht="34.5" x14ac:dyDescent="0.35">
      <c r="D74" s="220">
        <v>1</v>
      </c>
      <c r="E74" s="216" t="s">
        <v>2891</v>
      </c>
      <c r="H74" s="220">
        <v>1</v>
      </c>
      <c r="I74" s="217" t="s">
        <v>2893</v>
      </c>
      <c r="J74" s="219" t="s">
        <v>2896</v>
      </c>
      <c r="K74" s="217" t="s">
        <v>2894</v>
      </c>
      <c r="L74" s="256" t="s">
        <v>485</v>
      </c>
    </row>
    <row r="75" spans="1:12" ht="46" x14ac:dyDescent="0.35">
      <c r="C75" s="220">
        <v>1</v>
      </c>
      <c r="E75" s="216" t="s">
        <v>1529</v>
      </c>
      <c r="G75" s="220">
        <v>1</v>
      </c>
      <c r="I75" s="217" t="s">
        <v>1535</v>
      </c>
      <c r="J75" s="256" t="s">
        <v>1536</v>
      </c>
      <c r="K75" s="217" t="s">
        <v>1537</v>
      </c>
      <c r="L75" s="256" t="s">
        <v>1538</v>
      </c>
    </row>
    <row r="76" spans="1:12" ht="23" x14ac:dyDescent="0.35">
      <c r="C76" s="220">
        <v>2</v>
      </c>
      <c r="E76" s="216" t="s">
        <v>1715</v>
      </c>
      <c r="G76" s="220">
        <v>1</v>
      </c>
      <c r="H76" s="220">
        <v>1</v>
      </c>
      <c r="I76" s="217" t="s">
        <v>1550</v>
      </c>
      <c r="J76" s="260" t="s">
        <v>1552</v>
      </c>
      <c r="K76" s="217" t="s">
        <v>1551</v>
      </c>
      <c r="L76" s="256" t="s">
        <v>1718</v>
      </c>
    </row>
    <row r="77" spans="1:12" x14ac:dyDescent="0.35">
      <c r="A77" s="220">
        <v>25</v>
      </c>
      <c r="C77" s="220">
        <v>2</v>
      </c>
      <c r="E77" s="216" t="s">
        <v>2123</v>
      </c>
      <c r="F77" s="220">
        <v>27</v>
      </c>
      <c r="I77" s="217"/>
      <c r="J77" s="219" t="s">
        <v>474</v>
      </c>
      <c r="K77" s="217"/>
      <c r="L77" s="219"/>
    </row>
    <row r="78" spans="1:12" x14ac:dyDescent="0.35">
      <c r="A78" s="220">
        <v>18</v>
      </c>
      <c r="C78" s="220">
        <v>3</v>
      </c>
      <c r="E78" s="216" t="s">
        <v>2124</v>
      </c>
      <c r="G78" s="220">
        <v>21</v>
      </c>
      <c r="I78" s="217"/>
      <c r="J78" s="219" t="s">
        <v>474</v>
      </c>
      <c r="K78" s="217"/>
      <c r="L78" s="219"/>
    </row>
    <row r="79" spans="1:12" x14ac:dyDescent="0.35">
      <c r="B79" s="220">
        <v>10</v>
      </c>
      <c r="C79" s="220">
        <v>10</v>
      </c>
      <c r="E79" s="216" t="s">
        <v>2125</v>
      </c>
      <c r="H79" s="220">
        <v>20</v>
      </c>
      <c r="I79" s="217"/>
      <c r="J79" s="219" t="s">
        <v>474</v>
      </c>
      <c r="K79" s="217"/>
      <c r="L79" s="219"/>
    </row>
    <row r="80" spans="1:12" ht="23" x14ac:dyDescent="0.35">
      <c r="D80" s="220">
        <v>1</v>
      </c>
      <c r="E80" s="216" t="s">
        <v>2864</v>
      </c>
      <c r="G80" s="220">
        <v>1</v>
      </c>
      <c r="I80" s="217" t="s">
        <v>2866</v>
      </c>
      <c r="J80" s="256" t="s">
        <v>2869</v>
      </c>
      <c r="K80" s="217" t="s">
        <v>2868</v>
      </c>
      <c r="L80" s="256" t="s">
        <v>2871</v>
      </c>
    </row>
    <row r="81" spans="1:12" ht="34.5" x14ac:dyDescent="0.35">
      <c r="D81" s="220">
        <v>1</v>
      </c>
      <c r="E81" s="216" t="s">
        <v>2872</v>
      </c>
      <c r="G81" s="220">
        <v>1</v>
      </c>
      <c r="I81" s="217" t="s">
        <v>2873</v>
      </c>
      <c r="J81" s="256" t="s">
        <v>2874</v>
      </c>
      <c r="K81" s="217" t="s">
        <v>2875</v>
      </c>
      <c r="L81" s="256" t="s">
        <v>485</v>
      </c>
    </row>
    <row r="82" spans="1:12" ht="23" x14ac:dyDescent="0.35">
      <c r="A82" s="220">
        <v>1</v>
      </c>
      <c r="E82" s="216" t="s">
        <v>491</v>
      </c>
      <c r="F82" s="220">
        <v>1</v>
      </c>
      <c r="I82" s="217" t="s">
        <v>492</v>
      </c>
      <c r="J82" s="260" t="s">
        <v>493</v>
      </c>
      <c r="K82" s="217" t="s">
        <v>494</v>
      </c>
      <c r="L82" s="256" t="s">
        <v>495</v>
      </c>
    </row>
    <row r="83" spans="1:12" ht="23" x14ac:dyDescent="0.35">
      <c r="A83" s="220">
        <v>1</v>
      </c>
      <c r="E83" s="216" t="s">
        <v>537</v>
      </c>
      <c r="G83" s="220">
        <v>1</v>
      </c>
      <c r="I83" s="217" t="s">
        <v>538</v>
      </c>
      <c r="J83" s="260" t="s">
        <v>539</v>
      </c>
      <c r="K83" s="217" t="s">
        <v>540</v>
      </c>
      <c r="L83" s="256" t="s">
        <v>495</v>
      </c>
    </row>
    <row r="84" spans="1:12" ht="34.5" x14ac:dyDescent="0.35">
      <c r="D84" s="220">
        <v>1</v>
      </c>
      <c r="E84" s="216" t="s">
        <v>2850</v>
      </c>
      <c r="F84" s="220">
        <v>1</v>
      </c>
      <c r="I84" s="217" t="s">
        <v>2851</v>
      </c>
      <c r="J84" s="219" t="s">
        <v>2852</v>
      </c>
      <c r="K84" s="217" t="s">
        <v>2853</v>
      </c>
      <c r="L84" s="256" t="s">
        <v>2854</v>
      </c>
    </row>
    <row r="85" spans="1:12" ht="34.5" x14ac:dyDescent="0.35">
      <c r="D85" s="220">
        <v>1</v>
      </c>
      <c r="E85" s="216" t="s">
        <v>2832</v>
      </c>
      <c r="F85" s="220">
        <v>1</v>
      </c>
      <c r="I85" s="217" t="s">
        <v>2834</v>
      </c>
      <c r="J85" s="256" t="s">
        <v>2837</v>
      </c>
      <c r="K85" s="217" t="s">
        <v>2838</v>
      </c>
      <c r="L85" s="256" t="s">
        <v>2839</v>
      </c>
    </row>
    <row r="86" spans="1:12" x14ac:dyDescent="0.35">
      <c r="A86" s="220">
        <f>SUM(A2:A85)</f>
        <v>80</v>
      </c>
      <c r="B86" s="220">
        <f>SUM(B2:B85)</f>
        <v>40</v>
      </c>
      <c r="C86" s="220">
        <f>SUM(C2:C85)</f>
        <v>71</v>
      </c>
      <c r="D86" s="220">
        <f>SUM(D2:D85)</f>
        <v>15</v>
      </c>
      <c r="F86" s="220">
        <f>SUM(F2:F85)</f>
        <v>65</v>
      </c>
      <c r="G86" s="220">
        <f>SUM(G2:G85)</f>
        <v>65</v>
      </c>
      <c r="H86" s="220">
        <f>SUM(H2:H85)</f>
        <v>65</v>
      </c>
    </row>
    <row r="88" spans="1:12" x14ac:dyDescent="0.35">
      <c r="A88" s="252" t="s">
        <v>2830</v>
      </c>
    </row>
    <row r="89" spans="1:12" x14ac:dyDescent="0.35">
      <c r="A89" s="252" t="s">
        <v>2648</v>
      </c>
    </row>
  </sheetData>
  <autoFilter ref="A1:L86" xr:uid="{00000000-0009-0000-0000-000004000000}"/>
  <sortState xmlns:xlrd2="http://schemas.microsoft.com/office/spreadsheetml/2017/richdata2" ref="A2:M85">
    <sortCondition ref="E2:E85"/>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6"/>
  <sheetViews>
    <sheetView workbookViewId="0"/>
  </sheetViews>
  <sheetFormatPr defaultColWidth="8.90625" defaultRowHeight="11.5" x14ac:dyDescent="0.35"/>
  <cols>
    <col min="1" max="1" width="21.08984375" style="250" bestFit="1" customWidth="1"/>
    <col min="2" max="3" width="55.54296875" style="216" customWidth="1"/>
    <col min="4" max="16384" width="8.90625" style="250"/>
  </cols>
  <sheetData>
    <row r="1" spans="1:3" s="249" customFormat="1" x14ac:dyDescent="0.35">
      <c r="A1" s="255" t="s">
        <v>2118</v>
      </c>
      <c r="B1" s="240" t="s">
        <v>2119</v>
      </c>
      <c r="C1" s="240" t="s">
        <v>2120</v>
      </c>
    </row>
    <row r="2" spans="1:3" ht="34.5" x14ac:dyDescent="0.35">
      <c r="A2" s="253" t="s">
        <v>2096</v>
      </c>
      <c r="B2" s="254" t="s">
        <v>2138</v>
      </c>
    </row>
    <row r="3" spans="1:3" ht="23" x14ac:dyDescent="0.35">
      <c r="A3" s="253" t="s">
        <v>2097</v>
      </c>
      <c r="B3" s="254" t="s">
        <v>2098</v>
      </c>
    </row>
    <row r="4" spans="1:3" ht="23" x14ac:dyDescent="0.35">
      <c r="A4" s="253" t="s">
        <v>2099</v>
      </c>
      <c r="B4" s="254" t="s">
        <v>2100</v>
      </c>
      <c r="C4" s="254" t="s">
        <v>2115</v>
      </c>
    </row>
    <row r="5" spans="1:3" ht="34.5" x14ac:dyDescent="0.35">
      <c r="A5" s="253" t="s">
        <v>2101</v>
      </c>
      <c r="B5" s="254" t="s">
        <v>2117</v>
      </c>
    </row>
    <row r="6" spans="1:3" ht="23" x14ac:dyDescent="0.35">
      <c r="A6" s="253" t="s">
        <v>2102</v>
      </c>
      <c r="B6" s="254" t="s">
        <v>2103</v>
      </c>
      <c r="C6" s="254" t="s">
        <v>2139</v>
      </c>
    </row>
    <row r="7" spans="1:3" ht="23" x14ac:dyDescent="0.35">
      <c r="A7" s="253" t="s">
        <v>2104</v>
      </c>
      <c r="B7" s="254" t="s">
        <v>2105</v>
      </c>
      <c r="C7" s="254" t="s">
        <v>2106</v>
      </c>
    </row>
    <row r="8" spans="1:3" ht="34.5" x14ac:dyDescent="0.35">
      <c r="A8" s="253" t="s">
        <v>2107</v>
      </c>
      <c r="B8" s="254" t="s">
        <v>2108</v>
      </c>
      <c r="C8" s="254" t="s">
        <v>2109</v>
      </c>
    </row>
    <row r="9" spans="1:3" ht="34.5" x14ac:dyDescent="0.35">
      <c r="A9" s="253" t="s">
        <v>2141</v>
      </c>
      <c r="B9" s="254" t="s">
        <v>2140</v>
      </c>
      <c r="C9" s="254" t="s">
        <v>2110</v>
      </c>
    </row>
    <row r="10" spans="1:3" ht="23" x14ac:dyDescent="0.35">
      <c r="A10" s="253" t="s">
        <v>2111</v>
      </c>
      <c r="B10" s="254" t="s">
        <v>2112</v>
      </c>
    </row>
    <row r="11" spans="1:3" ht="23" x14ac:dyDescent="0.35">
      <c r="A11" s="253" t="s">
        <v>2113</v>
      </c>
      <c r="B11" s="254" t="s">
        <v>2116</v>
      </c>
      <c r="C11" s="254" t="s">
        <v>2114</v>
      </c>
    </row>
    <row r="12" spans="1:3" x14ac:dyDescent="0.35">
      <c r="A12" s="253"/>
    </row>
    <row r="14" spans="1:3" x14ac:dyDescent="0.35">
      <c r="A14" s="253"/>
    </row>
    <row r="16" spans="1:3" x14ac:dyDescent="0.35">
      <c r="A16" s="253"/>
    </row>
    <row r="17" spans="1:1" x14ac:dyDescent="0.35">
      <c r="A17" s="253"/>
    </row>
    <row r="19" spans="1:1" x14ac:dyDescent="0.35">
      <c r="A19" s="253"/>
    </row>
    <row r="21" spans="1:1" x14ac:dyDescent="0.35">
      <c r="A21" s="253"/>
    </row>
    <row r="22" spans="1:1" x14ac:dyDescent="0.35">
      <c r="A22" s="253"/>
    </row>
    <row r="24" spans="1:1" x14ac:dyDescent="0.35">
      <c r="A24" s="253"/>
    </row>
    <row r="25" spans="1:1" x14ac:dyDescent="0.35">
      <c r="A25" s="253"/>
    </row>
    <row r="27" spans="1:1" x14ac:dyDescent="0.35">
      <c r="A27" s="253"/>
    </row>
    <row r="28" spans="1:1" x14ac:dyDescent="0.35">
      <c r="A28" s="253"/>
    </row>
    <row r="30" spans="1:1" x14ac:dyDescent="0.35">
      <c r="A30" s="253"/>
    </row>
    <row r="31" spans="1:1" x14ac:dyDescent="0.35">
      <c r="A31" s="253"/>
    </row>
    <row r="33" spans="1:1" x14ac:dyDescent="0.35">
      <c r="A33" s="253"/>
    </row>
    <row r="35" spans="1:1" x14ac:dyDescent="0.35">
      <c r="A35" s="253"/>
    </row>
    <row r="36" spans="1:1" x14ac:dyDescent="0.35">
      <c r="A36" s="253"/>
    </row>
  </sheetData>
  <sortState xmlns:xlrd2="http://schemas.microsoft.com/office/spreadsheetml/2017/richdata2" ref="A1:C35">
    <sortCondition ref="A1:A35"/>
  </sortState>
  <pageMargins left="0.7" right="0.7" top="0.75" bottom="0.75" header="0.3" footer="0.3"/>
  <pageSetup orientation="portrait" horizontalDpi="4294967293"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H41"/>
  <sheetViews>
    <sheetView zoomScale="110" zoomScaleNormal="110" workbookViewId="0">
      <pane ySplit="1" topLeftCell="A2" activePane="bottomLeft" state="frozen"/>
      <selection pane="bottomLeft"/>
    </sheetView>
  </sheetViews>
  <sheetFormatPr defaultColWidth="23.54296875" defaultRowHeight="13" x14ac:dyDescent="0.35"/>
  <cols>
    <col min="1" max="1" width="23.54296875" style="101"/>
    <col min="2" max="2" width="23.54296875" style="102"/>
    <col min="3" max="3" width="23.54296875" style="101"/>
    <col min="4" max="4" width="23.54296875" style="103"/>
    <col min="5" max="5" width="23.54296875" style="104"/>
    <col min="6" max="6" width="23.54296875" style="102"/>
    <col min="7" max="16384" width="23.54296875" style="101"/>
  </cols>
  <sheetData>
    <row r="1" spans="1:8" s="98" customFormat="1" x14ac:dyDescent="0.35">
      <c r="A1" s="98" t="s">
        <v>1</v>
      </c>
      <c r="B1" s="98" t="s">
        <v>1013</v>
      </c>
      <c r="C1" s="98" t="s">
        <v>1136</v>
      </c>
      <c r="D1" s="99" t="s">
        <v>1137</v>
      </c>
      <c r="E1" s="100" t="s">
        <v>153</v>
      </c>
      <c r="F1" s="98" t="s">
        <v>1138</v>
      </c>
      <c r="G1" s="98" t="s">
        <v>1143</v>
      </c>
      <c r="H1" s="98" t="s">
        <v>153</v>
      </c>
    </row>
    <row r="2" spans="1:8" ht="52" x14ac:dyDescent="0.35">
      <c r="A2" s="101" t="s">
        <v>150</v>
      </c>
      <c r="B2" s="102" t="s">
        <v>62</v>
      </c>
      <c r="D2" s="103" t="s">
        <v>1171</v>
      </c>
      <c r="E2" s="104" t="s">
        <v>2126</v>
      </c>
      <c r="F2" s="102" t="s">
        <v>1170</v>
      </c>
      <c r="G2" s="101" t="s">
        <v>1172</v>
      </c>
      <c r="H2" s="105" t="s">
        <v>1173</v>
      </c>
    </row>
    <row r="3" spans="1:8" ht="39" x14ac:dyDescent="0.35">
      <c r="A3" s="101" t="s">
        <v>563</v>
      </c>
      <c r="B3" s="102" t="s">
        <v>1356</v>
      </c>
      <c r="C3" s="106" t="s">
        <v>1357</v>
      </c>
      <c r="D3" s="103" t="s">
        <v>1359</v>
      </c>
      <c r="E3" s="104" t="s">
        <v>1358</v>
      </c>
      <c r="F3" s="102" t="s">
        <v>1360</v>
      </c>
      <c r="G3" s="101" t="s">
        <v>1361</v>
      </c>
      <c r="H3" s="101" t="s">
        <v>1362</v>
      </c>
    </row>
    <row r="4" spans="1:8" ht="91" x14ac:dyDescent="0.35">
      <c r="A4" s="101" t="s">
        <v>1774</v>
      </c>
      <c r="B4" s="102" t="s">
        <v>1290</v>
      </c>
      <c r="D4" s="103" t="s">
        <v>1291</v>
      </c>
      <c r="E4" s="104" t="s">
        <v>1293</v>
      </c>
      <c r="F4" s="102" t="s">
        <v>1292</v>
      </c>
      <c r="G4" s="101" t="s">
        <v>1156</v>
      </c>
      <c r="H4" s="101" t="s">
        <v>1294</v>
      </c>
    </row>
    <row r="5" spans="1:8" ht="39" x14ac:dyDescent="0.35">
      <c r="A5" s="101" t="s">
        <v>1775</v>
      </c>
      <c r="B5" s="102" t="s">
        <v>1351</v>
      </c>
      <c r="C5" s="101" t="s">
        <v>1352</v>
      </c>
      <c r="D5" s="103" t="s">
        <v>1215</v>
      </c>
      <c r="E5" s="104" t="s">
        <v>1354</v>
      </c>
      <c r="F5" s="102" t="s">
        <v>1353</v>
      </c>
      <c r="G5" s="101" t="s">
        <v>1156</v>
      </c>
      <c r="H5" s="101" t="s">
        <v>1355</v>
      </c>
    </row>
    <row r="6" spans="1:8" ht="52" x14ac:dyDescent="0.35">
      <c r="A6" s="101" t="s">
        <v>150</v>
      </c>
      <c r="B6" s="102" t="s">
        <v>1284</v>
      </c>
      <c r="D6" s="103" t="s">
        <v>1286</v>
      </c>
      <c r="E6" s="104" t="s">
        <v>1287</v>
      </c>
      <c r="F6" s="102" t="s">
        <v>1285</v>
      </c>
      <c r="G6" s="101" t="s">
        <v>1288</v>
      </c>
      <c r="H6" s="101" t="s">
        <v>1289</v>
      </c>
    </row>
    <row r="7" spans="1:8" ht="52" x14ac:dyDescent="0.35">
      <c r="A7" s="101" t="s">
        <v>1772</v>
      </c>
      <c r="B7" s="102" t="s">
        <v>1278</v>
      </c>
      <c r="D7" s="103" t="s">
        <v>1279</v>
      </c>
      <c r="E7" s="104" t="s">
        <v>1281</v>
      </c>
      <c r="F7" s="102" t="s">
        <v>1280</v>
      </c>
      <c r="G7" s="101" t="s">
        <v>1282</v>
      </c>
      <c r="H7" s="101" t="s">
        <v>1283</v>
      </c>
    </row>
    <row r="8" spans="1:8" ht="52" x14ac:dyDescent="0.35">
      <c r="B8" s="102" t="s">
        <v>1272</v>
      </c>
      <c r="D8" s="103" t="s">
        <v>1274</v>
      </c>
      <c r="E8" s="104" t="s">
        <v>1275</v>
      </c>
      <c r="F8" s="102" t="s">
        <v>1273</v>
      </c>
      <c r="G8" s="101" t="s">
        <v>1276</v>
      </c>
      <c r="H8" s="101" t="s">
        <v>1277</v>
      </c>
    </row>
    <row r="9" spans="1:8" ht="39" x14ac:dyDescent="0.35">
      <c r="A9" s="101" t="s">
        <v>1773</v>
      </c>
      <c r="B9" s="102" t="s">
        <v>1344</v>
      </c>
      <c r="C9" s="107" t="s">
        <v>1345</v>
      </c>
      <c r="D9" s="103" t="s">
        <v>1346</v>
      </c>
      <c r="E9" s="104" t="s">
        <v>1348</v>
      </c>
      <c r="F9" s="102" t="s">
        <v>1347</v>
      </c>
      <c r="G9" s="101" t="s">
        <v>1349</v>
      </c>
      <c r="H9" s="101" t="s">
        <v>1350</v>
      </c>
    </row>
    <row r="10" spans="1:8" ht="26" x14ac:dyDescent="0.35">
      <c r="A10" s="101" t="s">
        <v>1776</v>
      </c>
      <c r="B10" s="102" t="s">
        <v>1267</v>
      </c>
      <c r="D10" s="103" t="s">
        <v>1268</v>
      </c>
      <c r="E10" s="104" t="s">
        <v>1270</v>
      </c>
      <c r="F10" s="102" t="s">
        <v>1269</v>
      </c>
      <c r="G10" s="101" t="s">
        <v>1194</v>
      </c>
      <c r="H10" s="101" t="s">
        <v>1271</v>
      </c>
    </row>
    <row r="11" spans="1:8" ht="65" x14ac:dyDescent="0.35">
      <c r="B11" s="102" t="s">
        <v>1261</v>
      </c>
      <c r="D11" s="103" t="s">
        <v>1262</v>
      </c>
      <c r="E11" s="104" t="s">
        <v>1264</v>
      </c>
      <c r="F11" s="102" t="s">
        <v>1263</v>
      </c>
      <c r="G11" s="101" t="s">
        <v>1265</v>
      </c>
      <c r="H11" s="101" t="s">
        <v>1266</v>
      </c>
    </row>
    <row r="12" spans="1:8" ht="52" x14ac:dyDescent="0.35">
      <c r="A12" s="101" t="s">
        <v>1777</v>
      </c>
      <c r="B12" s="102" t="s">
        <v>1255</v>
      </c>
      <c r="D12" s="103" t="s">
        <v>1256</v>
      </c>
      <c r="E12" s="104" t="s">
        <v>1258</v>
      </c>
      <c r="F12" s="102" t="s">
        <v>1257</v>
      </c>
      <c r="G12" s="101" t="s">
        <v>1259</v>
      </c>
      <c r="H12" s="105" t="s">
        <v>1260</v>
      </c>
    </row>
    <row r="13" spans="1:8" ht="52" x14ac:dyDescent="0.35">
      <c r="A13" s="101" t="s">
        <v>563</v>
      </c>
      <c r="B13" s="102" t="s">
        <v>1338</v>
      </c>
      <c r="C13" s="107" t="s">
        <v>1339</v>
      </c>
      <c r="D13" s="103" t="s">
        <v>1340</v>
      </c>
      <c r="E13" s="104" t="s">
        <v>1342</v>
      </c>
      <c r="F13" s="102" t="s">
        <v>1341</v>
      </c>
      <c r="G13" s="101" t="s">
        <v>1144</v>
      </c>
      <c r="H13" s="101" t="s">
        <v>1343</v>
      </c>
    </row>
    <row r="14" spans="1:8" ht="52" x14ac:dyDescent="0.35">
      <c r="B14" s="102" t="s">
        <v>1251</v>
      </c>
      <c r="D14" s="103" t="s">
        <v>1252</v>
      </c>
      <c r="E14" s="104" t="s">
        <v>2127</v>
      </c>
      <c r="F14" s="102" t="s">
        <v>1254</v>
      </c>
      <c r="G14" s="101" t="s">
        <v>1253</v>
      </c>
      <c r="H14" s="101" t="s">
        <v>2128</v>
      </c>
    </row>
    <row r="15" spans="1:8" ht="52" x14ac:dyDescent="0.35">
      <c r="B15" s="102" t="s">
        <v>1245</v>
      </c>
      <c r="D15" s="103" t="s">
        <v>1246</v>
      </c>
      <c r="E15" s="108" t="s">
        <v>1250</v>
      </c>
      <c r="F15" s="102" t="s">
        <v>1247</v>
      </c>
      <c r="G15" s="101" t="s">
        <v>1248</v>
      </c>
      <c r="H15" s="105" t="s">
        <v>1249</v>
      </c>
    </row>
    <row r="16" spans="1:8" ht="39" x14ac:dyDescent="0.35">
      <c r="B16" s="102" t="s">
        <v>1239</v>
      </c>
      <c r="D16" s="103" t="s">
        <v>1240</v>
      </c>
      <c r="E16" s="104" t="s">
        <v>1242</v>
      </c>
      <c r="F16" s="102" t="s">
        <v>1241</v>
      </c>
      <c r="G16" s="101" t="s">
        <v>1243</v>
      </c>
      <c r="H16" s="101" t="s">
        <v>1244</v>
      </c>
    </row>
    <row r="17" spans="1:8" ht="39" x14ac:dyDescent="0.35">
      <c r="B17" s="102" t="s">
        <v>1233</v>
      </c>
      <c r="D17" s="103" t="s">
        <v>1234</v>
      </c>
      <c r="E17" s="104" t="s">
        <v>1236</v>
      </c>
      <c r="F17" s="102" t="s">
        <v>1235</v>
      </c>
      <c r="G17" s="101" t="s">
        <v>1237</v>
      </c>
      <c r="H17" s="101" t="s">
        <v>1238</v>
      </c>
    </row>
    <row r="18" spans="1:8" ht="52" x14ac:dyDescent="0.35">
      <c r="B18" s="102" t="s">
        <v>1228</v>
      </c>
      <c r="D18" s="103" t="s">
        <v>1230</v>
      </c>
      <c r="E18" s="104" t="s">
        <v>2129</v>
      </c>
      <c r="F18" s="102" t="s">
        <v>1229</v>
      </c>
      <c r="G18" s="101" t="s">
        <v>1231</v>
      </c>
      <c r="H18" s="105" t="s">
        <v>1232</v>
      </c>
    </row>
    <row r="19" spans="1:8" ht="26" x14ac:dyDescent="0.35">
      <c r="A19" s="101" t="s">
        <v>1772</v>
      </c>
      <c r="B19" s="102" t="s">
        <v>1222</v>
      </c>
      <c r="D19" s="103" t="s">
        <v>1223</v>
      </c>
      <c r="E19" s="104" t="s">
        <v>1225</v>
      </c>
      <c r="F19" s="102" t="s">
        <v>1224</v>
      </c>
      <c r="G19" s="101" t="s">
        <v>1226</v>
      </c>
      <c r="H19" s="101" t="s">
        <v>1227</v>
      </c>
    </row>
    <row r="20" spans="1:8" ht="26" x14ac:dyDescent="0.35">
      <c r="A20" s="101" t="s">
        <v>1772</v>
      </c>
      <c r="B20" s="102" t="s">
        <v>1319</v>
      </c>
      <c r="C20" s="101" t="s">
        <v>1326</v>
      </c>
      <c r="D20" s="103" t="s">
        <v>1327</v>
      </c>
      <c r="E20" s="104" t="s">
        <v>1329</v>
      </c>
      <c r="F20" s="102" t="s">
        <v>1328</v>
      </c>
      <c r="G20" s="101" t="s">
        <v>1194</v>
      </c>
      <c r="H20" s="101" t="s">
        <v>1330</v>
      </c>
    </row>
    <row r="21" spans="1:8" ht="39" x14ac:dyDescent="0.35">
      <c r="A21" s="101" t="s">
        <v>1772</v>
      </c>
      <c r="B21" s="102" t="s">
        <v>1331</v>
      </c>
      <c r="C21" s="106" t="s">
        <v>1332</v>
      </c>
      <c r="D21" s="103" t="s">
        <v>1333</v>
      </c>
      <c r="E21" s="104" t="s">
        <v>1335</v>
      </c>
      <c r="F21" s="102" t="s">
        <v>1334</v>
      </c>
      <c r="G21" s="101" t="s">
        <v>1337</v>
      </c>
      <c r="H21" s="101" t="s">
        <v>1336</v>
      </c>
    </row>
    <row r="22" spans="1:8" ht="52" x14ac:dyDescent="0.35">
      <c r="B22" s="102" t="s">
        <v>1217</v>
      </c>
      <c r="D22" s="103" t="s">
        <v>1218</v>
      </c>
      <c r="E22" s="104" t="s">
        <v>1220</v>
      </c>
      <c r="F22" s="102" t="s">
        <v>1219</v>
      </c>
      <c r="G22" s="101" t="s">
        <v>1156</v>
      </c>
      <c r="H22" s="101" t="s">
        <v>1221</v>
      </c>
    </row>
    <row r="23" spans="1:8" ht="52" x14ac:dyDescent="0.35">
      <c r="B23" s="102" t="s">
        <v>1295</v>
      </c>
      <c r="D23" s="103" t="s">
        <v>1296</v>
      </c>
      <c r="E23" s="104" t="s">
        <v>1298</v>
      </c>
      <c r="F23" s="102" t="s">
        <v>1297</v>
      </c>
      <c r="G23" s="101" t="s">
        <v>1299</v>
      </c>
      <c r="H23" s="101" t="s">
        <v>1300</v>
      </c>
    </row>
    <row r="24" spans="1:8" ht="39" x14ac:dyDescent="0.35">
      <c r="B24" s="102" t="s">
        <v>1318</v>
      </c>
      <c r="C24" s="105" t="s">
        <v>1320</v>
      </c>
      <c r="D24" s="103" t="s">
        <v>1321</v>
      </c>
      <c r="E24" s="104" t="s">
        <v>1323</v>
      </c>
      <c r="F24" s="102" t="s">
        <v>1322</v>
      </c>
      <c r="G24" s="101" t="s">
        <v>1324</v>
      </c>
      <c r="H24" s="101" t="s">
        <v>1325</v>
      </c>
    </row>
    <row r="25" spans="1:8" ht="52" x14ac:dyDescent="0.35">
      <c r="A25" s="101" t="s">
        <v>1772</v>
      </c>
      <c r="B25" s="102" t="s">
        <v>1213</v>
      </c>
      <c r="D25" s="103" t="s">
        <v>1214</v>
      </c>
      <c r="E25" s="104" t="s">
        <v>2130</v>
      </c>
      <c r="F25" s="102" t="s">
        <v>1215</v>
      </c>
      <c r="G25" s="101" t="s">
        <v>1200</v>
      </c>
      <c r="H25" s="101" t="s">
        <v>1216</v>
      </c>
    </row>
    <row r="26" spans="1:8" ht="65" x14ac:dyDescent="0.35">
      <c r="B26" s="102" t="s">
        <v>1207</v>
      </c>
      <c r="D26" s="103" t="s">
        <v>1208</v>
      </c>
      <c r="E26" s="104" t="s">
        <v>1210</v>
      </c>
      <c r="F26" s="102" t="s">
        <v>1209</v>
      </c>
      <c r="G26" s="101" t="s">
        <v>1211</v>
      </c>
      <c r="H26" s="101" t="s">
        <v>1212</v>
      </c>
    </row>
    <row r="27" spans="1:8" ht="39" x14ac:dyDescent="0.35">
      <c r="B27" s="102" t="s">
        <v>1313</v>
      </c>
      <c r="C27" s="105" t="s">
        <v>1316</v>
      </c>
      <c r="D27" s="103" t="s">
        <v>1314</v>
      </c>
      <c r="E27" s="104" t="s">
        <v>1729</v>
      </c>
      <c r="F27" s="102" t="s">
        <v>1315</v>
      </c>
      <c r="G27" s="101" t="s">
        <v>1730</v>
      </c>
      <c r="H27" s="101" t="s">
        <v>1317</v>
      </c>
    </row>
    <row r="28" spans="1:8" ht="65" x14ac:dyDescent="0.35">
      <c r="B28" s="102" t="s">
        <v>1202</v>
      </c>
      <c r="D28" s="103" t="s">
        <v>1203</v>
      </c>
      <c r="E28" s="104" t="s">
        <v>2131</v>
      </c>
      <c r="F28" s="102" t="s">
        <v>1204</v>
      </c>
      <c r="G28" s="101" t="s">
        <v>1205</v>
      </c>
      <c r="H28" s="105" t="s">
        <v>1206</v>
      </c>
    </row>
    <row r="29" spans="1:8" ht="52" x14ac:dyDescent="0.35">
      <c r="B29" s="102" t="s">
        <v>1196</v>
      </c>
      <c r="D29" s="103" t="s">
        <v>1197</v>
      </c>
      <c r="E29" s="109" t="s">
        <v>1199</v>
      </c>
      <c r="F29" s="102" t="s">
        <v>1198</v>
      </c>
      <c r="G29" s="101" t="s">
        <v>1200</v>
      </c>
      <c r="H29" s="101" t="s">
        <v>1201</v>
      </c>
    </row>
    <row r="30" spans="1:8" ht="39" x14ac:dyDescent="0.35">
      <c r="A30" s="101" t="s">
        <v>1773</v>
      </c>
      <c r="B30" s="102" t="s">
        <v>1190</v>
      </c>
      <c r="D30" s="103" t="s">
        <v>1191</v>
      </c>
      <c r="E30" s="104" t="s">
        <v>1193</v>
      </c>
      <c r="F30" s="102" t="s">
        <v>1192</v>
      </c>
      <c r="G30" s="101" t="s">
        <v>1194</v>
      </c>
      <c r="H30" s="101" t="s">
        <v>1195</v>
      </c>
    </row>
    <row r="31" spans="1:8" ht="39" x14ac:dyDescent="0.35">
      <c r="B31" s="102" t="s">
        <v>1184</v>
      </c>
      <c r="D31" s="103" t="s">
        <v>1185</v>
      </c>
      <c r="E31" s="104" t="s">
        <v>1187</v>
      </c>
      <c r="F31" s="102" t="s">
        <v>1186</v>
      </c>
      <c r="G31" s="101" t="s">
        <v>1188</v>
      </c>
      <c r="H31" s="107" t="s">
        <v>1189</v>
      </c>
    </row>
    <row r="32" spans="1:8" ht="39" x14ac:dyDescent="0.35">
      <c r="A32" s="101" t="s">
        <v>150</v>
      </c>
      <c r="B32" s="102" t="s">
        <v>1179</v>
      </c>
      <c r="D32" s="103" t="s">
        <v>1180</v>
      </c>
      <c r="E32" s="104" t="s">
        <v>1182</v>
      </c>
      <c r="F32" s="102" t="s">
        <v>1181</v>
      </c>
      <c r="G32" s="101" t="s">
        <v>1156</v>
      </c>
      <c r="H32" s="101" t="s">
        <v>1183</v>
      </c>
    </row>
    <row r="33" spans="1:8" ht="52" x14ac:dyDescent="0.35">
      <c r="A33" s="101" t="s">
        <v>1772</v>
      </c>
      <c r="B33" s="102" t="s">
        <v>1174</v>
      </c>
      <c r="D33" s="103" t="s">
        <v>1175</v>
      </c>
      <c r="E33" s="104" t="s">
        <v>1178</v>
      </c>
      <c r="F33" s="102" t="s">
        <v>1176</v>
      </c>
      <c r="G33" s="101" t="s">
        <v>1156</v>
      </c>
      <c r="H33" s="101" t="s">
        <v>1177</v>
      </c>
    </row>
    <row r="34" spans="1:8" ht="39" x14ac:dyDescent="0.35">
      <c r="A34" s="101" t="s">
        <v>150</v>
      </c>
      <c r="B34" s="102" t="s">
        <v>1306</v>
      </c>
      <c r="C34" s="106" t="s">
        <v>1307</v>
      </c>
      <c r="D34" s="103" t="s">
        <v>1308</v>
      </c>
      <c r="E34" s="104" t="s">
        <v>1310</v>
      </c>
      <c r="F34" s="102" t="s">
        <v>1309</v>
      </c>
      <c r="G34" s="101" t="s">
        <v>1311</v>
      </c>
      <c r="H34" s="101" t="s">
        <v>1312</v>
      </c>
    </row>
    <row r="35" spans="1:8" ht="39" x14ac:dyDescent="0.35">
      <c r="A35" s="101" t="s">
        <v>150</v>
      </c>
      <c r="B35" s="102" t="s">
        <v>1158</v>
      </c>
      <c r="D35" s="103" t="s">
        <v>1159</v>
      </c>
      <c r="E35" s="104" t="s">
        <v>1161</v>
      </c>
      <c r="F35" s="102" t="s">
        <v>1160</v>
      </c>
      <c r="G35" s="101" t="s">
        <v>1162</v>
      </c>
      <c r="H35" s="101" t="s">
        <v>1163</v>
      </c>
    </row>
    <row r="36" spans="1:8" ht="65" x14ac:dyDescent="0.35">
      <c r="A36" s="101" t="s">
        <v>150</v>
      </c>
      <c r="B36" s="102" t="s">
        <v>1301</v>
      </c>
      <c r="C36" s="101" t="s">
        <v>1302</v>
      </c>
      <c r="D36" s="103" t="s">
        <v>1303</v>
      </c>
      <c r="E36" s="104" t="s">
        <v>2132</v>
      </c>
      <c r="F36" s="102" t="s">
        <v>1304</v>
      </c>
      <c r="G36" s="101" t="s">
        <v>1156</v>
      </c>
      <c r="H36" s="101" t="s">
        <v>1305</v>
      </c>
    </row>
    <row r="37" spans="1:8" ht="26" x14ac:dyDescent="0.35">
      <c r="B37" s="102" t="s">
        <v>1164</v>
      </c>
      <c r="D37" s="103" t="s">
        <v>1165</v>
      </c>
      <c r="E37" s="104" t="s">
        <v>1167</v>
      </c>
      <c r="F37" s="102" t="s">
        <v>1166</v>
      </c>
      <c r="G37" s="101" t="s">
        <v>1168</v>
      </c>
      <c r="H37" s="101" t="s">
        <v>1169</v>
      </c>
    </row>
    <row r="38" spans="1:8" ht="26" x14ac:dyDescent="0.35">
      <c r="B38" s="102" t="s">
        <v>1164</v>
      </c>
      <c r="D38" s="103" t="s">
        <v>1165</v>
      </c>
      <c r="E38" s="104" t="s">
        <v>1167</v>
      </c>
      <c r="F38" s="102" t="s">
        <v>1166</v>
      </c>
      <c r="G38" s="101" t="s">
        <v>1168</v>
      </c>
      <c r="H38" s="101" t="s">
        <v>1169</v>
      </c>
    </row>
    <row r="39" spans="1:8" ht="65" x14ac:dyDescent="0.35">
      <c r="A39" s="101" t="s">
        <v>797</v>
      </c>
      <c r="B39" s="102" t="s">
        <v>1152</v>
      </c>
      <c r="D39" s="103" t="s">
        <v>1153</v>
      </c>
      <c r="E39" s="104" t="s">
        <v>1155</v>
      </c>
      <c r="F39" s="102" t="s">
        <v>1154</v>
      </c>
      <c r="G39" s="101" t="s">
        <v>1156</v>
      </c>
      <c r="H39" s="101" t="s">
        <v>1157</v>
      </c>
    </row>
    <row r="40" spans="1:8" ht="26" x14ac:dyDescent="0.35">
      <c r="B40" s="102" t="s">
        <v>1146</v>
      </c>
      <c r="D40" s="103" t="s">
        <v>1147</v>
      </c>
      <c r="E40" s="104" t="s">
        <v>1149</v>
      </c>
      <c r="F40" s="102" t="s">
        <v>1148</v>
      </c>
      <c r="G40" s="101" t="s">
        <v>1150</v>
      </c>
      <c r="H40" s="101" t="s">
        <v>1151</v>
      </c>
    </row>
    <row r="41" spans="1:8" ht="39" x14ac:dyDescent="0.35">
      <c r="B41" s="102" t="s">
        <v>1139</v>
      </c>
      <c r="D41" s="103" t="s">
        <v>1140</v>
      </c>
      <c r="E41" s="104" t="s">
        <v>1142</v>
      </c>
      <c r="F41" s="102" t="s">
        <v>1141</v>
      </c>
      <c r="G41" s="101" t="s">
        <v>1144</v>
      </c>
      <c r="H41" s="106" t="s">
        <v>1145</v>
      </c>
    </row>
  </sheetData>
  <autoFilter ref="A1:H41" xr:uid="{00000000-0009-0000-0000-000006000000}"/>
  <sortState xmlns:xlrd2="http://schemas.microsoft.com/office/spreadsheetml/2017/richdata2" ref="B2:H41">
    <sortCondition ref="B2:B41"/>
  </sortState>
  <pageMargins left="0.7" right="0.7" top="0.75" bottom="0.75" header="0.3" footer="0.3"/>
  <pageSetup orientation="portrait" horizontalDpi="4294967293"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H55"/>
  <sheetViews>
    <sheetView topLeftCell="B1" zoomScale="110" zoomScaleNormal="110" workbookViewId="0">
      <pane ySplit="1" topLeftCell="A2" activePane="bottomLeft" state="frozen"/>
      <selection pane="bottomLeft" activeCell="B1" sqref="B1"/>
    </sheetView>
  </sheetViews>
  <sheetFormatPr defaultColWidth="23.54296875" defaultRowHeight="10.5" x14ac:dyDescent="0.35"/>
  <cols>
    <col min="1" max="1" width="0" style="23" hidden="1" customWidth="1"/>
    <col min="2" max="2" width="23.54296875" style="22"/>
    <col min="3" max="3" width="23.54296875" style="23"/>
    <col min="4" max="4" width="23.54296875" style="24"/>
    <col min="5" max="5" width="23.54296875" style="25"/>
    <col min="6" max="6" width="23.54296875" style="22"/>
    <col min="7" max="16384" width="23.54296875" style="23"/>
  </cols>
  <sheetData>
    <row r="1" spans="1:8" s="19" customFormat="1" x14ac:dyDescent="0.35">
      <c r="A1" s="19" t="s">
        <v>1</v>
      </c>
      <c r="B1" s="19" t="s">
        <v>1013</v>
      </c>
      <c r="C1" s="19" t="s">
        <v>1136</v>
      </c>
      <c r="D1" s="20" t="s">
        <v>1137</v>
      </c>
      <c r="E1" s="21" t="s">
        <v>153</v>
      </c>
      <c r="F1" s="19" t="s">
        <v>1138</v>
      </c>
      <c r="G1" s="19" t="s">
        <v>1143</v>
      </c>
      <c r="H1" s="19" t="s">
        <v>153</v>
      </c>
    </row>
    <row r="2" spans="1:8" ht="31.5" x14ac:dyDescent="0.35">
      <c r="A2" s="23" t="s">
        <v>150</v>
      </c>
      <c r="B2" s="22" t="s">
        <v>62</v>
      </c>
      <c r="D2" s="24" t="s">
        <v>1171</v>
      </c>
      <c r="E2" s="25" t="s">
        <v>1778</v>
      </c>
      <c r="F2" s="22" t="s">
        <v>1170</v>
      </c>
      <c r="G2" s="23" t="s">
        <v>1172</v>
      </c>
      <c r="H2" s="26" t="s">
        <v>1173</v>
      </c>
    </row>
    <row r="3" spans="1:8" ht="31.5" x14ac:dyDescent="0.35">
      <c r="A3" s="23" t="s">
        <v>563</v>
      </c>
      <c r="B3" s="22" t="s">
        <v>1356</v>
      </c>
      <c r="C3" s="27" t="s">
        <v>1357</v>
      </c>
      <c r="D3" s="24" t="s">
        <v>1359</v>
      </c>
      <c r="E3" s="25" t="s">
        <v>1779</v>
      </c>
      <c r="F3" s="22" t="s">
        <v>1360</v>
      </c>
      <c r="G3" s="23" t="s">
        <v>1361</v>
      </c>
      <c r="H3" s="23" t="s">
        <v>1362</v>
      </c>
    </row>
    <row r="4" spans="1:8" ht="52.5" x14ac:dyDescent="0.35">
      <c r="A4" s="23" t="s">
        <v>1774</v>
      </c>
      <c r="B4" s="22" t="s">
        <v>1290</v>
      </c>
      <c r="D4" s="24" t="s">
        <v>1291</v>
      </c>
      <c r="E4" s="25" t="s">
        <v>1293</v>
      </c>
      <c r="F4" s="22" t="s">
        <v>1292</v>
      </c>
      <c r="G4" s="23" t="s">
        <v>1156</v>
      </c>
      <c r="H4" s="23" t="s">
        <v>1294</v>
      </c>
    </row>
    <row r="5" spans="1:8" ht="31.5" x14ac:dyDescent="0.35">
      <c r="A5" s="23" t="s">
        <v>1775</v>
      </c>
      <c r="B5" s="22" t="s">
        <v>1351</v>
      </c>
      <c r="C5" s="23" t="s">
        <v>1352</v>
      </c>
      <c r="D5" s="24" t="s">
        <v>1215</v>
      </c>
      <c r="E5" s="25" t="s">
        <v>1354</v>
      </c>
      <c r="F5" s="22" t="s">
        <v>1353</v>
      </c>
      <c r="G5" s="23" t="s">
        <v>1156</v>
      </c>
      <c r="H5" s="23" t="s">
        <v>1355</v>
      </c>
    </row>
    <row r="6" spans="1:8" ht="31.5" x14ac:dyDescent="0.35">
      <c r="A6" s="23" t="s">
        <v>150</v>
      </c>
      <c r="B6" s="22" t="s">
        <v>1284</v>
      </c>
      <c r="D6" s="24" t="s">
        <v>1286</v>
      </c>
      <c r="E6" s="25" t="s">
        <v>1287</v>
      </c>
      <c r="F6" s="22" t="s">
        <v>1285</v>
      </c>
      <c r="G6" s="23" t="s">
        <v>1288</v>
      </c>
      <c r="H6" s="23" t="s">
        <v>1289</v>
      </c>
    </row>
    <row r="7" spans="1:8" ht="31.5" x14ac:dyDescent="0.35">
      <c r="A7" s="23" t="s">
        <v>1772</v>
      </c>
      <c r="B7" s="22" t="s">
        <v>1278</v>
      </c>
      <c r="D7" s="24" t="s">
        <v>1279</v>
      </c>
      <c r="E7" s="25" t="s">
        <v>1281</v>
      </c>
      <c r="F7" s="22" t="s">
        <v>1280</v>
      </c>
      <c r="G7" s="23" t="s">
        <v>1282</v>
      </c>
      <c r="H7" s="23" t="s">
        <v>1283</v>
      </c>
    </row>
    <row r="8" spans="1:8" ht="31.5" x14ac:dyDescent="0.35">
      <c r="B8" s="22" t="s">
        <v>1272</v>
      </c>
      <c r="D8" s="24" t="s">
        <v>1274</v>
      </c>
      <c r="E8" s="25" t="s">
        <v>1275</v>
      </c>
      <c r="F8" s="22" t="s">
        <v>1273</v>
      </c>
      <c r="G8" s="23" t="s">
        <v>1276</v>
      </c>
      <c r="H8" s="23" t="s">
        <v>1277</v>
      </c>
    </row>
    <row r="9" spans="1:8" ht="21" x14ac:dyDescent="0.35">
      <c r="A9" s="23" t="s">
        <v>1773</v>
      </c>
      <c r="B9" s="22" t="s">
        <v>1344</v>
      </c>
      <c r="C9" s="28" t="s">
        <v>1345</v>
      </c>
      <c r="D9" s="24" t="s">
        <v>1346</v>
      </c>
      <c r="E9" s="25" t="s">
        <v>1348</v>
      </c>
      <c r="F9" s="22" t="s">
        <v>1347</v>
      </c>
      <c r="G9" s="23" t="s">
        <v>1349</v>
      </c>
      <c r="H9" s="23" t="s">
        <v>1350</v>
      </c>
    </row>
    <row r="10" spans="1:8" ht="21" x14ac:dyDescent="0.35">
      <c r="A10" s="23" t="s">
        <v>1776</v>
      </c>
      <c r="B10" s="22" t="s">
        <v>1267</v>
      </c>
      <c r="D10" s="24" t="s">
        <v>1268</v>
      </c>
      <c r="E10" s="25" t="s">
        <v>1270</v>
      </c>
      <c r="F10" s="22" t="s">
        <v>1269</v>
      </c>
      <c r="G10" s="23" t="s">
        <v>1194</v>
      </c>
      <c r="H10" s="23" t="s">
        <v>1271</v>
      </c>
    </row>
    <row r="11" spans="1:8" ht="52.5" x14ac:dyDescent="0.35">
      <c r="B11" s="22" t="s">
        <v>1261</v>
      </c>
      <c r="D11" s="24" t="s">
        <v>1262</v>
      </c>
      <c r="E11" s="25" t="s">
        <v>1264</v>
      </c>
      <c r="F11" s="22" t="s">
        <v>1263</v>
      </c>
      <c r="G11" s="23" t="s">
        <v>1265</v>
      </c>
      <c r="H11" s="23" t="s">
        <v>1266</v>
      </c>
    </row>
    <row r="12" spans="1:8" ht="42" x14ac:dyDescent="0.35">
      <c r="A12" s="23" t="s">
        <v>1777</v>
      </c>
      <c r="B12" s="22" t="s">
        <v>1255</v>
      </c>
      <c r="D12" s="24" t="s">
        <v>1256</v>
      </c>
      <c r="E12" s="25" t="s">
        <v>1258</v>
      </c>
      <c r="F12" s="22" t="s">
        <v>1257</v>
      </c>
      <c r="G12" s="23" t="s">
        <v>1259</v>
      </c>
      <c r="H12" s="26" t="s">
        <v>1260</v>
      </c>
    </row>
    <row r="13" spans="1:8" ht="31.5" x14ac:dyDescent="0.35">
      <c r="A13" s="23" t="s">
        <v>563</v>
      </c>
      <c r="B13" s="22" t="s">
        <v>1338</v>
      </c>
      <c r="C13" s="28" t="s">
        <v>1339</v>
      </c>
      <c r="D13" s="24" t="s">
        <v>1340</v>
      </c>
      <c r="E13" s="25" t="s">
        <v>1342</v>
      </c>
      <c r="F13" s="22" t="s">
        <v>1341</v>
      </c>
      <c r="G13" s="23" t="s">
        <v>1144</v>
      </c>
      <c r="H13" s="23" t="s">
        <v>1343</v>
      </c>
    </row>
    <row r="14" spans="1:8" ht="31.5" x14ac:dyDescent="0.35">
      <c r="B14" s="22" t="s">
        <v>1251</v>
      </c>
      <c r="D14" s="24" t="s">
        <v>1252</v>
      </c>
      <c r="E14" s="25" t="s">
        <v>1370</v>
      </c>
      <c r="F14" s="22" t="s">
        <v>1254</v>
      </c>
      <c r="G14" s="23" t="s">
        <v>1253</v>
      </c>
      <c r="H14" s="23" t="s">
        <v>1371</v>
      </c>
    </row>
    <row r="15" spans="1:8" ht="31.5" x14ac:dyDescent="0.35">
      <c r="B15" s="22" t="s">
        <v>1245</v>
      </c>
      <c r="D15" s="24" t="s">
        <v>1246</v>
      </c>
      <c r="E15" s="29" t="s">
        <v>1250</v>
      </c>
      <c r="F15" s="22" t="s">
        <v>1247</v>
      </c>
      <c r="G15" s="23" t="s">
        <v>1248</v>
      </c>
      <c r="H15" s="26" t="s">
        <v>1249</v>
      </c>
    </row>
    <row r="16" spans="1:8" ht="21" x14ac:dyDescent="0.35">
      <c r="B16" s="22" t="s">
        <v>1239</v>
      </c>
      <c r="D16" s="24" t="s">
        <v>1240</v>
      </c>
      <c r="E16" s="25" t="s">
        <v>1242</v>
      </c>
      <c r="F16" s="22" t="s">
        <v>1241</v>
      </c>
      <c r="G16" s="23" t="s">
        <v>1243</v>
      </c>
      <c r="H16" s="23" t="s">
        <v>1244</v>
      </c>
    </row>
    <row r="17" spans="1:8" ht="21" x14ac:dyDescent="0.35">
      <c r="B17" s="22" t="s">
        <v>1233</v>
      </c>
      <c r="D17" s="24" t="s">
        <v>1234</v>
      </c>
      <c r="E17" s="25" t="s">
        <v>1236</v>
      </c>
      <c r="F17" s="22" t="s">
        <v>1235</v>
      </c>
      <c r="G17" s="23" t="s">
        <v>1237</v>
      </c>
      <c r="H17" s="23" t="s">
        <v>1238</v>
      </c>
    </row>
    <row r="18" spans="1:8" ht="31.5" x14ac:dyDescent="0.35">
      <c r="B18" s="22" t="s">
        <v>1228</v>
      </c>
      <c r="D18" s="24" t="s">
        <v>1230</v>
      </c>
      <c r="E18" s="25" t="s">
        <v>1372</v>
      </c>
      <c r="F18" s="22" t="s">
        <v>1229</v>
      </c>
      <c r="G18" s="23" t="s">
        <v>1231</v>
      </c>
      <c r="H18" s="26" t="s">
        <v>1232</v>
      </c>
    </row>
    <row r="19" spans="1:8" x14ac:dyDescent="0.35">
      <c r="A19" s="23" t="s">
        <v>1772</v>
      </c>
      <c r="B19" s="22" t="s">
        <v>1222</v>
      </c>
      <c r="D19" s="24" t="s">
        <v>1223</v>
      </c>
      <c r="E19" s="25" t="s">
        <v>1225</v>
      </c>
      <c r="F19" s="22" t="s">
        <v>1224</v>
      </c>
      <c r="G19" s="23" t="s">
        <v>1226</v>
      </c>
      <c r="H19" s="23" t="s">
        <v>1227</v>
      </c>
    </row>
    <row r="20" spans="1:8" ht="21" x14ac:dyDescent="0.35">
      <c r="A20" s="23" t="s">
        <v>1772</v>
      </c>
      <c r="B20" s="22" t="s">
        <v>1319</v>
      </c>
      <c r="C20" s="23" t="s">
        <v>1326</v>
      </c>
      <c r="D20" s="24" t="s">
        <v>1327</v>
      </c>
      <c r="E20" s="25" t="s">
        <v>1329</v>
      </c>
      <c r="F20" s="22" t="s">
        <v>1328</v>
      </c>
      <c r="G20" s="23" t="s">
        <v>1194</v>
      </c>
      <c r="H20" s="23" t="s">
        <v>1330</v>
      </c>
    </row>
    <row r="21" spans="1:8" ht="21" x14ac:dyDescent="0.35">
      <c r="A21" s="23" t="s">
        <v>1772</v>
      </c>
      <c r="B21" s="22" t="s">
        <v>1331</v>
      </c>
      <c r="C21" s="27" t="s">
        <v>1332</v>
      </c>
      <c r="D21" s="24" t="s">
        <v>1333</v>
      </c>
      <c r="E21" s="25" t="s">
        <v>1335</v>
      </c>
      <c r="F21" s="22" t="s">
        <v>1334</v>
      </c>
      <c r="G21" s="23" t="s">
        <v>1337</v>
      </c>
      <c r="H21" s="23" t="s">
        <v>1336</v>
      </c>
    </row>
    <row r="22" spans="1:8" ht="42" x14ac:dyDescent="0.35">
      <c r="B22" s="22" t="s">
        <v>1217</v>
      </c>
      <c r="D22" s="24" t="s">
        <v>1218</v>
      </c>
      <c r="E22" s="25" t="s">
        <v>1220</v>
      </c>
      <c r="F22" s="22" t="s">
        <v>1219</v>
      </c>
      <c r="G22" s="23" t="s">
        <v>1156</v>
      </c>
      <c r="H22" s="23" t="s">
        <v>1221</v>
      </c>
    </row>
    <row r="23" spans="1:8" ht="31.5" x14ac:dyDescent="0.35">
      <c r="B23" s="22" t="s">
        <v>1295</v>
      </c>
      <c r="D23" s="24" t="s">
        <v>1296</v>
      </c>
      <c r="E23" s="25" t="s">
        <v>1298</v>
      </c>
      <c r="F23" s="22" t="s">
        <v>1297</v>
      </c>
      <c r="G23" s="23" t="s">
        <v>1299</v>
      </c>
      <c r="H23" s="23" t="s">
        <v>1300</v>
      </c>
    </row>
    <row r="24" spans="1:8" ht="21" x14ac:dyDescent="0.35">
      <c r="B24" s="22" t="s">
        <v>1318</v>
      </c>
      <c r="C24" s="26" t="s">
        <v>1320</v>
      </c>
      <c r="D24" s="24" t="s">
        <v>1321</v>
      </c>
      <c r="E24" s="25" t="s">
        <v>1323</v>
      </c>
      <c r="F24" s="22" t="s">
        <v>1322</v>
      </c>
      <c r="G24" s="23" t="s">
        <v>1324</v>
      </c>
      <c r="H24" s="23" t="s">
        <v>1325</v>
      </c>
    </row>
    <row r="25" spans="1:8" ht="31.5" x14ac:dyDescent="0.35">
      <c r="A25" s="23" t="s">
        <v>1772</v>
      </c>
      <c r="B25" s="22" t="s">
        <v>1213</v>
      </c>
      <c r="D25" s="24" t="s">
        <v>1214</v>
      </c>
      <c r="E25" s="25" t="s">
        <v>1373</v>
      </c>
      <c r="F25" s="22" t="s">
        <v>1215</v>
      </c>
      <c r="G25" s="23" t="s">
        <v>1200</v>
      </c>
      <c r="H25" s="23" t="s">
        <v>1216</v>
      </c>
    </row>
    <row r="26" spans="1:8" ht="42" x14ac:dyDescent="0.35">
      <c r="B26" s="22" t="s">
        <v>1207</v>
      </c>
      <c r="D26" s="24" t="s">
        <v>1208</v>
      </c>
      <c r="E26" s="25" t="s">
        <v>1210</v>
      </c>
      <c r="F26" s="22" t="s">
        <v>1209</v>
      </c>
      <c r="G26" s="23" t="s">
        <v>1211</v>
      </c>
      <c r="H26" s="23" t="s">
        <v>1212</v>
      </c>
    </row>
    <row r="27" spans="1:8" ht="21" x14ac:dyDescent="0.35">
      <c r="B27" s="22" t="s">
        <v>1313</v>
      </c>
      <c r="C27" s="26" t="s">
        <v>1316</v>
      </c>
      <c r="D27" s="24" t="s">
        <v>1314</v>
      </c>
      <c r="E27" s="25" t="s">
        <v>1729</v>
      </c>
      <c r="F27" s="22" t="s">
        <v>1315</v>
      </c>
      <c r="G27" s="23" t="s">
        <v>1730</v>
      </c>
      <c r="H27" s="23" t="s">
        <v>1317</v>
      </c>
    </row>
    <row r="28" spans="1:8" ht="31.5" x14ac:dyDescent="0.35">
      <c r="B28" s="22" t="s">
        <v>1202</v>
      </c>
      <c r="D28" s="24" t="s">
        <v>1203</v>
      </c>
      <c r="E28" s="25" t="s">
        <v>1374</v>
      </c>
      <c r="F28" s="22" t="s">
        <v>1204</v>
      </c>
      <c r="G28" s="23" t="s">
        <v>1205</v>
      </c>
      <c r="H28" s="26" t="s">
        <v>1206</v>
      </c>
    </row>
    <row r="29" spans="1:8" ht="31.5" x14ac:dyDescent="0.35">
      <c r="B29" s="22" t="s">
        <v>1196</v>
      </c>
      <c r="D29" s="24" t="s">
        <v>1197</v>
      </c>
      <c r="E29" s="30" t="s">
        <v>1199</v>
      </c>
      <c r="F29" s="22" t="s">
        <v>1198</v>
      </c>
      <c r="G29" s="23" t="s">
        <v>1200</v>
      </c>
      <c r="H29" s="23" t="s">
        <v>1201</v>
      </c>
    </row>
    <row r="30" spans="1:8" ht="21" x14ac:dyDescent="0.35">
      <c r="A30" s="23" t="s">
        <v>1773</v>
      </c>
      <c r="B30" s="22" t="s">
        <v>1190</v>
      </c>
      <c r="D30" s="24" t="s">
        <v>1191</v>
      </c>
      <c r="E30" s="25" t="s">
        <v>1193</v>
      </c>
      <c r="F30" s="22" t="s">
        <v>1192</v>
      </c>
      <c r="G30" s="23" t="s">
        <v>1194</v>
      </c>
      <c r="H30" s="23" t="s">
        <v>1195</v>
      </c>
    </row>
    <row r="31" spans="1:8" ht="21" x14ac:dyDescent="0.35">
      <c r="B31" s="22" t="s">
        <v>1184</v>
      </c>
      <c r="D31" s="24" t="s">
        <v>1185</v>
      </c>
      <c r="E31" s="25" t="s">
        <v>1187</v>
      </c>
      <c r="F31" s="22" t="s">
        <v>1186</v>
      </c>
      <c r="G31" s="23" t="s">
        <v>1188</v>
      </c>
      <c r="H31" s="28" t="s">
        <v>1189</v>
      </c>
    </row>
    <row r="32" spans="1:8" ht="21" x14ac:dyDescent="0.35">
      <c r="A32" s="23" t="s">
        <v>150</v>
      </c>
      <c r="B32" s="22" t="s">
        <v>1179</v>
      </c>
      <c r="D32" s="24" t="s">
        <v>1180</v>
      </c>
      <c r="E32" s="25" t="s">
        <v>1182</v>
      </c>
      <c r="F32" s="22" t="s">
        <v>1181</v>
      </c>
      <c r="G32" s="23" t="s">
        <v>1156</v>
      </c>
      <c r="H32" s="23" t="s">
        <v>1183</v>
      </c>
    </row>
    <row r="33" spans="1:8" ht="31.5" x14ac:dyDescent="0.35">
      <c r="A33" s="23" t="s">
        <v>1772</v>
      </c>
      <c r="B33" s="22" t="s">
        <v>1174</v>
      </c>
      <c r="D33" s="24" t="s">
        <v>1175</v>
      </c>
      <c r="E33" s="25" t="s">
        <v>1178</v>
      </c>
      <c r="F33" s="22" t="s">
        <v>1176</v>
      </c>
      <c r="G33" s="23" t="s">
        <v>1156</v>
      </c>
      <c r="H33" s="23" t="s">
        <v>1177</v>
      </c>
    </row>
    <row r="34" spans="1:8" ht="31.5" x14ac:dyDescent="0.35">
      <c r="A34" s="23" t="s">
        <v>150</v>
      </c>
      <c r="B34" s="22" t="s">
        <v>1306</v>
      </c>
      <c r="C34" s="27" t="s">
        <v>1307</v>
      </c>
      <c r="D34" s="24" t="s">
        <v>1308</v>
      </c>
      <c r="E34" s="25" t="s">
        <v>1310</v>
      </c>
      <c r="F34" s="22" t="s">
        <v>1309</v>
      </c>
      <c r="G34" s="23" t="s">
        <v>1311</v>
      </c>
      <c r="H34" s="23" t="s">
        <v>1312</v>
      </c>
    </row>
    <row r="35" spans="1:8" ht="31.5" x14ac:dyDescent="0.35">
      <c r="A35" s="23" t="s">
        <v>150</v>
      </c>
      <c r="B35" s="22" t="s">
        <v>1158</v>
      </c>
      <c r="D35" s="24" t="s">
        <v>1159</v>
      </c>
      <c r="E35" s="25" t="s">
        <v>1161</v>
      </c>
      <c r="F35" s="22" t="s">
        <v>1160</v>
      </c>
      <c r="G35" s="23" t="s">
        <v>1162</v>
      </c>
      <c r="H35" s="23" t="s">
        <v>1163</v>
      </c>
    </row>
    <row r="36" spans="1:8" ht="42" x14ac:dyDescent="0.35">
      <c r="A36" s="23" t="s">
        <v>150</v>
      </c>
      <c r="B36" s="22" t="s">
        <v>1301</v>
      </c>
      <c r="C36" s="23" t="s">
        <v>1302</v>
      </c>
      <c r="D36" s="24" t="s">
        <v>1303</v>
      </c>
      <c r="E36" s="25" t="s">
        <v>1375</v>
      </c>
      <c r="F36" s="22" t="s">
        <v>1304</v>
      </c>
      <c r="G36" s="23" t="s">
        <v>1156</v>
      </c>
      <c r="H36" s="23" t="s">
        <v>1305</v>
      </c>
    </row>
    <row r="37" spans="1:8" ht="21" x14ac:dyDescent="0.35">
      <c r="B37" s="22" t="s">
        <v>1164</v>
      </c>
      <c r="D37" s="24" t="s">
        <v>1165</v>
      </c>
      <c r="E37" s="25" t="s">
        <v>1167</v>
      </c>
      <c r="F37" s="22" t="s">
        <v>1166</v>
      </c>
      <c r="G37" s="23" t="s">
        <v>1168</v>
      </c>
      <c r="H37" s="23" t="s">
        <v>1169</v>
      </c>
    </row>
    <row r="38" spans="1:8" ht="21" x14ac:dyDescent="0.35">
      <c r="B38" s="22" t="s">
        <v>1164</v>
      </c>
      <c r="D38" s="24" t="s">
        <v>1165</v>
      </c>
      <c r="E38" s="25" t="s">
        <v>1167</v>
      </c>
      <c r="F38" s="22" t="s">
        <v>1166</v>
      </c>
      <c r="G38" s="23" t="s">
        <v>1168</v>
      </c>
      <c r="H38" s="23" t="s">
        <v>1169</v>
      </c>
    </row>
    <row r="39" spans="1:8" ht="42" x14ac:dyDescent="0.35">
      <c r="A39" s="23" t="s">
        <v>797</v>
      </c>
      <c r="B39" s="22" t="s">
        <v>1152</v>
      </c>
      <c r="D39" s="24" t="s">
        <v>1153</v>
      </c>
      <c r="E39" s="25" t="s">
        <v>1155</v>
      </c>
      <c r="F39" s="22" t="s">
        <v>1154</v>
      </c>
      <c r="G39" s="23" t="s">
        <v>1156</v>
      </c>
      <c r="H39" s="23" t="s">
        <v>1157</v>
      </c>
    </row>
    <row r="40" spans="1:8" x14ac:dyDescent="0.35">
      <c r="B40" s="22" t="s">
        <v>1146</v>
      </c>
      <c r="D40" s="24" t="s">
        <v>1147</v>
      </c>
      <c r="E40" s="25" t="s">
        <v>1149</v>
      </c>
      <c r="F40" s="22" t="s">
        <v>1148</v>
      </c>
      <c r="G40" s="23" t="s">
        <v>1150</v>
      </c>
      <c r="H40" s="23" t="s">
        <v>1151</v>
      </c>
    </row>
    <row r="41" spans="1:8" ht="31.5" x14ac:dyDescent="0.35">
      <c r="B41" s="22" t="s">
        <v>1139</v>
      </c>
      <c r="D41" s="24" t="s">
        <v>1140</v>
      </c>
      <c r="E41" s="25" t="s">
        <v>1142</v>
      </c>
      <c r="F41" s="22" t="s">
        <v>1141</v>
      </c>
      <c r="G41" s="23" t="s">
        <v>1144</v>
      </c>
      <c r="H41" s="27" t="s">
        <v>1145</v>
      </c>
    </row>
    <row r="42" spans="1:8" x14ac:dyDescent="0.35">
      <c r="B42" s="22" t="s">
        <v>1780</v>
      </c>
    </row>
    <row r="43" spans="1:8" x14ac:dyDescent="0.35">
      <c r="B43" s="22" t="s">
        <v>1781</v>
      </c>
    </row>
    <row r="44" spans="1:8" x14ac:dyDescent="0.35">
      <c r="B44" s="22" t="s">
        <v>1782</v>
      </c>
    </row>
    <row r="45" spans="1:8" x14ac:dyDescent="0.35">
      <c r="B45" s="22" t="s">
        <v>1783</v>
      </c>
    </row>
    <row r="46" spans="1:8" x14ac:dyDescent="0.35">
      <c r="B46" s="22" t="s">
        <v>1784</v>
      </c>
    </row>
    <row r="47" spans="1:8" x14ac:dyDescent="0.35">
      <c r="B47" s="22" t="s">
        <v>1785</v>
      </c>
    </row>
    <row r="48" spans="1:8" x14ac:dyDescent="0.35">
      <c r="B48" s="22" t="s">
        <v>1786</v>
      </c>
    </row>
    <row r="49" spans="2:2" x14ac:dyDescent="0.35">
      <c r="B49" s="22" t="s">
        <v>1787</v>
      </c>
    </row>
    <row r="50" spans="2:2" x14ac:dyDescent="0.35">
      <c r="B50" s="22" t="s">
        <v>1788</v>
      </c>
    </row>
    <row r="51" spans="2:2" x14ac:dyDescent="0.35">
      <c r="B51" s="22" t="s">
        <v>1789</v>
      </c>
    </row>
    <row r="52" spans="2:2" x14ac:dyDescent="0.35">
      <c r="B52" s="22" t="s">
        <v>1790</v>
      </c>
    </row>
    <row r="53" spans="2:2" x14ac:dyDescent="0.35">
      <c r="B53" s="22" t="s">
        <v>1791</v>
      </c>
    </row>
    <row r="54" spans="2:2" x14ac:dyDescent="0.35">
      <c r="B54" s="22" t="s">
        <v>1792</v>
      </c>
    </row>
    <row r="55" spans="2:2" x14ac:dyDescent="0.35">
      <c r="B55" s="22" t="s">
        <v>1793</v>
      </c>
    </row>
  </sheetData>
  <autoFilter ref="A1:H41" xr:uid="{00000000-0009-0000-0000-000007000000}"/>
  <pageMargins left="0.7" right="0.7" top="0.75" bottom="0.75" header="0.3" footer="0.3"/>
  <pageSetup orientation="portrait" horizontalDpi="4294967293"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G48"/>
  <sheetViews>
    <sheetView workbookViewId="0">
      <pane ySplit="1" topLeftCell="A2" activePane="bottomLeft" state="frozen"/>
      <selection pane="bottomLeft"/>
    </sheetView>
  </sheetViews>
  <sheetFormatPr defaultColWidth="36.90625" defaultRowHeight="13" x14ac:dyDescent="0.3"/>
  <cols>
    <col min="1" max="1" width="4" style="1" bestFit="1" customWidth="1"/>
    <col min="2" max="2" width="9.453125" style="1" bestFit="1" customWidth="1"/>
    <col min="3" max="3" width="7.54296875" style="1" bestFit="1" customWidth="1"/>
    <col min="4" max="4" width="9.54296875" style="1" bestFit="1" customWidth="1"/>
    <col min="5" max="5" width="22" style="1" customWidth="1"/>
    <col min="6" max="7" width="60.54296875" style="1" customWidth="1"/>
    <col min="8" max="16384" width="36.90625" style="1"/>
  </cols>
  <sheetData>
    <row r="1" spans="1:7" s="7" customFormat="1" x14ac:dyDescent="0.3">
      <c r="A1" s="7" t="s">
        <v>328</v>
      </c>
      <c r="B1" s="7" t="s">
        <v>296</v>
      </c>
      <c r="C1" s="7" t="s">
        <v>795</v>
      </c>
      <c r="D1" s="7" t="s">
        <v>1</v>
      </c>
      <c r="E1" s="7" t="s">
        <v>0</v>
      </c>
      <c r="F1" s="7" t="s">
        <v>794</v>
      </c>
      <c r="G1" s="7" t="s">
        <v>793</v>
      </c>
    </row>
    <row r="2" spans="1:7" s="5" customFormat="1" x14ac:dyDescent="0.3">
      <c r="B2" s="5" t="s">
        <v>791</v>
      </c>
      <c r="C2" s="5">
        <v>2</v>
      </c>
      <c r="D2" s="5" t="s">
        <v>150</v>
      </c>
      <c r="E2" s="5" t="s">
        <v>792</v>
      </c>
    </row>
    <row r="3" spans="1:7" s="5" customFormat="1" x14ac:dyDescent="0.3">
      <c r="B3" s="5" t="s">
        <v>791</v>
      </c>
      <c r="C3" s="5">
        <v>2</v>
      </c>
      <c r="D3" s="5" t="s">
        <v>150</v>
      </c>
      <c r="E3" s="6" t="s">
        <v>790</v>
      </c>
    </row>
    <row r="4" spans="1:7" s="2" customFormat="1" x14ac:dyDescent="0.3">
      <c r="B4" s="2" t="s">
        <v>662</v>
      </c>
      <c r="C4" s="2">
        <v>2</v>
      </c>
      <c r="F4" s="2" t="s">
        <v>758</v>
      </c>
    </row>
    <row r="5" spans="1:7" s="2" customFormat="1" x14ac:dyDescent="0.3">
      <c r="B5" s="2" t="s">
        <v>662</v>
      </c>
      <c r="C5" s="2">
        <v>2</v>
      </c>
      <c r="F5" s="2" t="s">
        <v>757</v>
      </c>
    </row>
    <row r="6" spans="1:7" s="2" customFormat="1" x14ac:dyDescent="0.3">
      <c r="B6" s="2" t="s">
        <v>662</v>
      </c>
      <c r="C6" s="2">
        <v>2</v>
      </c>
      <c r="F6" s="2" t="s">
        <v>756</v>
      </c>
    </row>
    <row r="7" spans="1:7" s="2" customFormat="1" x14ac:dyDescent="0.3">
      <c r="B7" s="2" t="s">
        <v>662</v>
      </c>
      <c r="C7" s="2">
        <v>2</v>
      </c>
      <c r="F7" s="2" t="s">
        <v>755</v>
      </c>
    </row>
    <row r="8" spans="1:7" s="2" customFormat="1" x14ac:dyDescent="0.3">
      <c r="B8" s="2" t="s">
        <v>662</v>
      </c>
      <c r="C8" s="2">
        <v>2</v>
      </c>
      <c r="F8" s="2" t="s">
        <v>754</v>
      </c>
    </row>
    <row r="9" spans="1:7" s="3" customFormat="1" x14ac:dyDescent="0.3">
      <c r="A9" s="3">
        <v>4</v>
      </c>
      <c r="B9" s="3" t="s">
        <v>761</v>
      </c>
      <c r="C9" s="3">
        <v>2</v>
      </c>
      <c r="D9" s="3" t="s">
        <v>563</v>
      </c>
      <c r="E9" s="3" t="s">
        <v>789</v>
      </c>
      <c r="F9" s="3" t="s">
        <v>788</v>
      </c>
      <c r="G9" s="3" t="s">
        <v>787</v>
      </c>
    </row>
    <row r="10" spans="1:7" s="3" customFormat="1" x14ac:dyDescent="0.3">
      <c r="A10" s="3">
        <v>4</v>
      </c>
      <c r="B10" s="3" t="s">
        <v>761</v>
      </c>
      <c r="C10" s="3">
        <v>2</v>
      </c>
      <c r="D10" s="3" t="s">
        <v>563</v>
      </c>
      <c r="E10" s="3" t="s">
        <v>789</v>
      </c>
      <c r="F10" s="3" t="s">
        <v>788</v>
      </c>
      <c r="G10" s="3" t="s">
        <v>787</v>
      </c>
    </row>
    <row r="11" spans="1:7" s="3" customFormat="1" ht="26" x14ac:dyDescent="0.3">
      <c r="A11" s="3">
        <v>4</v>
      </c>
      <c r="B11" s="3" t="s">
        <v>761</v>
      </c>
      <c r="C11" s="3">
        <v>2</v>
      </c>
      <c r="D11" s="3" t="s">
        <v>786</v>
      </c>
      <c r="E11" s="3" t="s">
        <v>1008</v>
      </c>
      <c r="F11" s="3" t="s">
        <v>999</v>
      </c>
      <c r="G11" s="3" t="s">
        <v>1076</v>
      </c>
    </row>
    <row r="12" spans="1:7" s="3" customFormat="1" ht="26" x14ac:dyDescent="0.3">
      <c r="A12" s="3">
        <v>4</v>
      </c>
      <c r="B12" s="3" t="s">
        <v>761</v>
      </c>
      <c r="C12" s="3">
        <v>2</v>
      </c>
      <c r="D12" s="3" t="s">
        <v>786</v>
      </c>
      <c r="E12" s="3" t="s">
        <v>1008</v>
      </c>
      <c r="F12" s="3" t="s">
        <v>999</v>
      </c>
      <c r="G12" s="3" t="s">
        <v>1076</v>
      </c>
    </row>
    <row r="13" spans="1:7" s="3" customFormat="1" ht="26" x14ac:dyDescent="0.3">
      <c r="A13" s="3">
        <v>4</v>
      </c>
      <c r="B13" s="3" t="s">
        <v>761</v>
      </c>
      <c r="C13" s="3">
        <v>2</v>
      </c>
      <c r="D13" s="3" t="s">
        <v>786</v>
      </c>
      <c r="E13" s="3" t="s">
        <v>1009</v>
      </c>
      <c r="F13" s="3" t="s">
        <v>1000</v>
      </c>
      <c r="G13" s="3" t="s">
        <v>1076</v>
      </c>
    </row>
    <row r="14" spans="1:7" s="3" customFormat="1" ht="26" x14ac:dyDescent="0.3">
      <c r="A14" s="3">
        <v>4</v>
      </c>
      <c r="B14" s="3" t="s">
        <v>761</v>
      </c>
      <c r="C14" s="3">
        <v>2</v>
      </c>
      <c r="D14" s="3" t="s">
        <v>786</v>
      </c>
      <c r="E14" s="3" t="s">
        <v>1009</v>
      </c>
      <c r="F14" s="3" t="s">
        <v>1000</v>
      </c>
      <c r="G14" s="3" t="s">
        <v>1076</v>
      </c>
    </row>
    <row r="15" spans="1:7" s="3" customFormat="1" ht="26" x14ac:dyDescent="0.3">
      <c r="A15" s="3">
        <v>4</v>
      </c>
      <c r="B15" s="3" t="s">
        <v>761</v>
      </c>
      <c r="C15" s="3">
        <v>2</v>
      </c>
      <c r="D15" s="3" t="s">
        <v>786</v>
      </c>
      <c r="E15" s="3" t="s">
        <v>1010</v>
      </c>
      <c r="F15" s="3" t="s">
        <v>1011</v>
      </c>
      <c r="G15" s="3" t="s">
        <v>1076</v>
      </c>
    </row>
    <row r="16" spans="1:7" s="3" customFormat="1" ht="26" x14ac:dyDescent="0.3">
      <c r="A16" s="3">
        <v>4</v>
      </c>
      <c r="B16" s="3" t="s">
        <v>761</v>
      </c>
      <c r="C16" s="3">
        <v>2</v>
      </c>
      <c r="D16" s="3" t="s">
        <v>786</v>
      </c>
      <c r="E16" s="3" t="s">
        <v>1010</v>
      </c>
      <c r="F16" s="3" t="s">
        <v>1011</v>
      </c>
      <c r="G16" s="3" t="s">
        <v>1076</v>
      </c>
    </row>
    <row r="17" spans="1:7" s="11" customFormat="1" ht="26" x14ac:dyDescent="0.3">
      <c r="A17" s="3">
        <v>1</v>
      </c>
      <c r="B17" s="3" t="s">
        <v>761</v>
      </c>
      <c r="C17" s="3">
        <v>2</v>
      </c>
      <c r="D17" s="3" t="s">
        <v>150</v>
      </c>
      <c r="E17" s="3" t="s">
        <v>784</v>
      </c>
      <c r="F17" s="3" t="s">
        <v>1067</v>
      </c>
      <c r="G17" s="3" t="s">
        <v>1072</v>
      </c>
    </row>
    <row r="18" spans="1:7" s="11" customFormat="1" ht="26" x14ac:dyDescent="0.3">
      <c r="A18" s="3">
        <v>1</v>
      </c>
      <c r="B18" s="3" t="s">
        <v>761</v>
      </c>
      <c r="C18" s="3">
        <v>2</v>
      </c>
      <c r="D18" s="3" t="s">
        <v>150</v>
      </c>
      <c r="E18" s="3" t="s">
        <v>784</v>
      </c>
      <c r="F18" s="3" t="s">
        <v>1067</v>
      </c>
      <c r="G18" s="3" t="s">
        <v>1072</v>
      </c>
    </row>
    <row r="19" spans="1:7" s="3" customFormat="1" ht="26" x14ac:dyDescent="0.3">
      <c r="A19" s="3">
        <v>1</v>
      </c>
      <c r="B19" s="3" t="s">
        <v>761</v>
      </c>
      <c r="C19" s="3">
        <v>2</v>
      </c>
      <c r="D19" s="3" t="s">
        <v>150</v>
      </c>
      <c r="E19" s="3" t="s">
        <v>781</v>
      </c>
      <c r="F19" s="3" t="s">
        <v>1068</v>
      </c>
      <c r="G19" s="3" t="s">
        <v>1072</v>
      </c>
    </row>
    <row r="20" spans="1:7" s="3" customFormat="1" ht="26" x14ac:dyDescent="0.3">
      <c r="A20" s="3">
        <v>1</v>
      </c>
      <c r="B20" s="3" t="s">
        <v>761</v>
      </c>
      <c r="C20" s="3">
        <v>2</v>
      </c>
      <c r="D20" s="3" t="s">
        <v>150</v>
      </c>
      <c r="E20" s="3" t="s">
        <v>781</v>
      </c>
      <c r="F20" s="3" t="s">
        <v>1068</v>
      </c>
      <c r="G20" s="3" t="s">
        <v>1072</v>
      </c>
    </row>
    <row r="21" spans="1:7" s="12" customFormat="1" ht="26" x14ac:dyDescent="0.3">
      <c r="A21" s="3">
        <v>1</v>
      </c>
      <c r="B21" s="3" t="s">
        <v>761</v>
      </c>
      <c r="C21" s="3">
        <v>2</v>
      </c>
      <c r="D21" s="3" t="s">
        <v>150</v>
      </c>
      <c r="E21" s="3" t="s">
        <v>783</v>
      </c>
      <c r="F21" s="3" t="s">
        <v>782</v>
      </c>
      <c r="G21" s="3" t="s">
        <v>1072</v>
      </c>
    </row>
    <row r="22" spans="1:7" s="3" customFormat="1" ht="26" x14ac:dyDescent="0.3">
      <c r="A22" s="3">
        <v>1</v>
      </c>
      <c r="B22" s="3" t="s">
        <v>761</v>
      </c>
      <c r="C22" s="3">
        <v>2</v>
      </c>
      <c r="D22" s="3" t="s">
        <v>150</v>
      </c>
      <c r="E22" s="3" t="s">
        <v>783</v>
      </c>
      <c r="F22" s="3" t="s">
        <v>782</v>
      </c>
      <c r="G22" s="3" t="s">
        <v>1072</v>
      </c>
    </row>
    <row r="23" spans="1:7" s="3" customFormat="1" ht="26" x14ac:dyDescent="0.3">
      <c r="A23" s="3">
        <v>1</v>
      </c>
      <c r="B23" s="3" t="s">
        <v>761</v>
      </c>
      <c r="C23" s="3">
        <v>2</v>
      </c>
      <c r="D23" s="3" t="s">
        <v>150</v>
      </c>
      <c r="E23" s="3" t="s">
        <v>1066</v>
      </c>
      <c r="F23" s="3" t="s">
        <v>1070</v>
      </c>
      <c r="G23" s="3" t="s">
        <v>1072</v>
      </c>
    </row>
    <row r="24" spans="1:7" s="3" customFormat="1" ht="26" x14ac:dyDescent="0.3">
      <c r="A24" s="3">
        <v>1</v>
      </c>
      <c r="B24" s="3" t="s">
        <v>761</v>
      </c>
      <c r="C24" s="3">
        <v>2</v>
      </c>
      <c r="D24" s="3" t="s">
        <v>150</v>
      </c>
      <c r="E24" s="3" t="s">
        <v>1066</v>
      </c>
      <c r="F24" s="3" t="s">
        <v>1070</v>
      </c>
      <c r="G24" s="3" t="s">
        <v>1072</v>
      </c>
    </row>
    <row r="25" spans="1:7" s="12" customFormat="1" ht="26" x14ac:dyDescent="0.3">
      <c r="A25" s="3">
        <v>1</v>
      </c>
      <c r="B25" s="3" t="s">
        <v>761</v>
      </c>
      <c r="C25" s="3">
        <v>2</v>
      </c>
      <c r="D25" s="3" t="s">
        <v>150</v>
      </c>
      <c r="E25" s="3" t="s">
        <v>785</v>
      </c>
      <c r="F25" s="3" t="s">
        <v>1069</v>
      </c>
      <c r="G25" s="3" t="s">
        <v>1072</v>
      </c>
    </row>
    <row r="26" spans="1:7" s="4" customFormat="1" ht="26" x14ac:dyDescent="0.3">
      <c r="A26" s="3">
        <v>1</v>
      </c>
      <c r="B26" s="3" t="s">
        <v>761</v>
      </c>
      <c r="C26" s="3">
        <v>2</v>
      </c>
      <c r="D26" s="3" t="s">
        <v>150</v>
      </c>
      <c r="E26" s="3" t="s">
        <v>785</v>
      </c>
      <c r="F26" s="3" t="s">
        <v>1069</v>
      </c>
      <c r="G26" s="3" t="s">
        <v>1072</v>
      </c>
    </row>
    <row r="27" spans="1:7" s="4" customFormat="1" ht="26" x14ac:dyDescent="0.3">
      <c r="A27" s="3">
        <v>4</v>
      </c>
      <c r="B27" s="3" t="s">
        <v>761</v>
      </c>
      <c r="C27" s="3">
        <v>2</v>
      </c>
      <c r="D27" s="3" t="s">
        <v>780</v>
      </c>
      <c r="E27" s="3" t="s">
        <v>779</v>
      </c>
      <c r="F27" s="3" t="s">
        <v>1001</v>
      </c>
      <c r="G27" s="3" t="s">
        <v>778</v>
      </c>
    </row>
    <row r="28" spans="1:7" s="4" customFormat="1" ht="26" x14ac:dyDescent="0.3">
      <c r="A28" s="3">
        <v>4</v>
      </c>
      <c r="B28" s="3" t="s">
        <v>761</v>
      </c>
      <c r="C28" s="3">
        <v>2</v>
      </c>
      <c r="D28" s="3" t="s">
        <v>780</v>
      </c>
      <c r="E28" s="3" t="s">
        <v>779</v>
      </c>
      <c r="F28" s="3" t="s">
        <v>1001</v>
      </c>
      <c r="G28" s="3" t="s">
        <v>778</v>
      </c>
    </row>
    <row r="29" spans="1:7" s="4" customFormat="1" x14ac:dyDescent="0.3">
      <c r="A29" s="12">
        <v>2</v>
      </c>
      <c r="B29" s="12" t="s">
        <v>761</v>
      </c>
      <c r="C29" s="12">
        <v>1</v>
      </c>
      <c r="D29" s="12" t="s">
        <v>768</v>
      </c>
      <c r="E29" s="12" t="s">
        <v>1071</v>
      </c>
      <c r="F29" s="12" t="s">
        <v>1061</v>
      </c>
      <c r="G29" s="12" t="s">
        <v>1064</v>
      </c>
    </row>
    <row r="30" spans="1:7" s="3" customFormat="1" x14ac:dyDescent="0.3">
      <c r="A30" s="3">
        <v>2</v>
      </c>
      <c r="B30" s="3" t="s">
        <v>761</v>
      </c>
      <c r="C30" s="3">
        <v>2</v>
      </c>
      <c r="D30" s="3" t="s">
        <v>768</v>
      </c>
      <c r="E30" s="3" t="s">
        <v>777</v>
      </c>
      <c r="F30" s="3" t="s">
        <v>776</v>
      </c>
      <c r="G30" s="3" t="s">
        <v>775</v>
      </c>
    </row>
    <row r="31" spans="1:7" s="3" customFormat="1" x14ac:dyDescent="0.3">
      <c r="A31" s="3">
        <v>2</v>
      </c>
      <c r="B31" s="3" t="s">
        <v>761</v>
      </c>
      <c r="C31" s="3">
        <v>2</v>
      </c>
      <c r="D31" s="3" t="s">
        <v>768</v>
      </c>
      <c r="E31" s="3" t="s">
        <v>777</v>
      </c>
      <c r="F31" s="3" t="s">
        <v>776</v>
      </c>
      <c r="G31" s="3" t="s">
        <v>775</v>
      </c>
    </row>
    <row r="32" spans="1:7" s="3" customFormat="1" x14ac:dyDescent="0.3">
      <c r="A32" s="3">
        <v>2</v>
      </c>
      <c r="B32" s="3" t="s">
        <v>761</v>
      </c>
      <c r="C32" s="3">
        <v>2</v>
      </c>
      <c r="D32" s="3" t="s">
        <v>768</v>
      </c>
      <c r="E32" s="3" t="s">
        <v>774</v>
      </c>
      <c r="F32" s="3" t="s">
        <v>773</v>
      </c>
      <c r="G32" s="3" t="s">
        <v>772</v>
      </c>
    </row>
    <row r="33" spans="1:7" s="3" customFormat="1" x14ac:dyDescent="0.3">
      <c r="A33" s="3">
        <v>2</v>
      </c>
      <c r="B33" s="3" t="s">
        <v>761</v>
      </c>
      <c r="C33" s="3">
        <v>2</v>
      </c>
      <c r="D33" s="3" t="s">
        <v>768</v>
      </c>
      <c r="E33" s="3" t="s">
        <v>774</v>
      </c>
      <c r="F33" s="3" t="s">
        <v>773</v>
      </c>
      <c r="G33" s="3" t="s">
        <v>772</v>
      </c>
    </row>
    <row r="34" spans="1:7" s="3" customFormat="1" x14ac:dyDescent="0.3">
      <c r="A34" s="3">
        <v>2</v>
      </c>
      <c r="B34" s="3" t="s">
        <v>761</v>
      </c>
      <c r="C34" s="3">
        <v>2</v>
      </c>
      <c r="D34" s="3" t="s">
        <v>768</v>
      </c>
      <c r="E34" s="3" t="s">
        <v>771</v>
      </c>
      <c r="F34" s="3" t="s">
        <v>770</v>
      </c>
      <c r="G34" s="3" t="s">
        <v>769</v>
      </c>
    </row>
    <row r="35" spans="1:7" s="3" customFormat="1" x14ac:dyDescent="0.3">
      <c r="A35" s="3">
        <v>2</v>
      </c>
      <c r="B35" s="3" t="s">
        <v>761</v>
      </c>
      <c r="C35" s="3">
        <v>2</v>
      </c>
      <c r="D35" s="3" t="s">
        <v>768</v>
      </c>
      <c r="E35" s="3" t="s">
        <v>771</v>
      </c>
      <c r="F35" s="3" t="s">
        <v>770</v>
      </c>
      <c r="G35" s="3" t="s">
        <v>769</v>
      </c>
    </row>
    <row r="36" spans="1:7" s="3" customFormat="1" x14ac:dyDescent="0.3">
      <c r="A36" s="3">
        <v>2</v>
      </c>
      <c r="B36" s="3" t="s">
        <v>761</v>
      </c>
      <c r="C36" s="3">
        <v>2</v>
      </c>
      <c r="D36" s="3" t="s">
        <v>768</v>
      </c>
      <c r="E36" s="3" t="s">
        <v>767</v>
      </c>
      <c r="F36" s="3" t="s">
        <v>766</v>
      </c>
      <c r="G36" s="3" t="s">
        <v>765</v>
      </c>
    </row>
    <row r="37" spans="1:7" s="3" customFormat="1" x14ac:dyDescent="0.3">
      <c r="A37" s="3">
        <v>2</v>
      </c>
      <c r="B37" s="3" t="s">
        <v>761</v>
      </c>
      <c r="C37" s="3">
        <v>2</v>
      </c>
      <c r="D37" s="3" t="s">
        <v>768</v>
      </c>
      <c r="E37" s="3" t="s">
        <v>767</v>
      </c>
      <c r="F37" s="3" t="s">
        <v>766</v>
      </c>
      <c r="G37" s="3" t="s">
        <v>765</v>
      </c>
    </row>
    <row r="38" spans="1:7" s="3" customFormat="1" x14ac:dyDescent="0.3">
      <c r="A38" s="12">
        <v>2</v>
      </c>
      <c r="B38" s="12" t="s">
        <v>761</v>
      </c>
      <c r="C38" s="12">
        <v>1</v>
      </c>
      <c r="D38" s="12" t="s">
        <v>768</v>
      </c>
      <c r="E38" s="12" t="s">
        <v>1065</v>
      </c>
      <c r="F38" s="12" t="s">
        <v>1062</v>
      </c>
      <c r="G38" s="12" t="s">
        <v>1063</v>
      </c>
    </row>
    <row r="39" spans="1:7" s="3" customFormat="1" ht="26" x14ac:dyDescent="0.3">
      <c r="A39" s="3">
        <v>3</v>
      </c>
      <c r="B39" s="3" t="s">
        <v>761</v>
      </c>
      <c r="C39" s="3">
        <v>2</v>
      </c>
      <c r="D39" s="3" t="s">
        <v>760</v>
      </c>
      <c r="E39" s="3" t="s">
        <v>1002</v>
      </c>
      <c r="F39" s="3" t="s">
        <v>1003</v>
      </c>
      <c r="G39" s="3" t="s">
        <v>1075</v>
      </c>
    </row>
    <row r="40" spans="1:7" s="3" customFormat="1" ht="26" x14ac:dyDescent="0.3">
      <c r="A40" s="3">
        <v>3</v>
      </c>
      <c r="B40" s="3" t="s">
        <v>761</v>
      </c>
      <c r="C40" s="3">
        <v>2</v>
      </c>
      <c r="D40" s="3" t="s">
        <v>760</v>
      </c>
      <c r="E40" s="3" t="s">
        <v>1002</v>
      </c>
      <c r="F40" s="3" t="s">
        <v>1003</v>
      </c>
      <c r="G40" s="3" t="s">
        <v>1075</v>
      </c>
    </row>
    <row r="41" spans="1:7" s="3" customFormat="1" ht="26" x14ac:dyDescent="0.3">
      <c r="A41" s="12">
        <v>3</v>
      </c>
      <c r="B41" s="12" t="s">
        <v>761</v>
      </c>
      <c r="C41" s="12">
        <v>1</v>
      </c>
      <c r="D41" s="12" t="s">
        <v>760</v>
      </c>
      <c r="E41" s="12" t="s">
        <v>762</v>
      </c>
      <c r="F41" s="12" t="s">
        <v>1004</v>
      </c>
      <c r="G41" s="12" t="s">
        <v>1075</v>
      </c>
    </row>
    <row r="42" spans="1:7" s="3" customFormat="1" ht="26" x14ac:dyDescent="0.3">
      <c r="A42" s="3">
        <v>3</v>
      </c>
      <c r="B42" s="3" t="s">
        <v>761</v>
      </c>
      <c r="C42" s="3">
        <v>2</v>
      </c>
      <c r="D42" s="3" t="s">
        <v>760</v>
      </c>
      <c r="E42" s="3" t="s">
        <v>1073</v>
      </c>
      <c r="F42" s="3" t="s">
        <v>1074</v>
      </c>
      <c r="G42" s="3" t="s">
        <v>1075</v>
      </c>
    </row>
    <row r="43" spans="1:7" s="3" customFormat="1" ht="26" x14ac:dyDescent="0.3">
      <c r="A43" s="3">
        <v>3</v>
      </c>
      <c r="B43" s="3" t="s">
        <v>761</v>
      </c>
      <c r="C43" s="3">
        <v>2</v>
      </c>
      <c r="D43" s="3" t="s">
        <v>760</v>
      </c>
      <c r="E43" s="3" t="s">
        <v>1073</v>
      </c>
      <c r="F43" s="3" t="s">
        <v>1074</v>
      </c>
      <c r="G43" s="3" t="s">
        <v>1075</v>
      </c>
    </row>
    <row r="44" spans="1:7" s="4" customFormat="1" ht="26" x14ac:dyDescent="0.3">
      <c r="A44" s="3">
        <v>3</v>
      </c>
      <c r="B44" s="3" t="s">
        <v>761</v>
      </c>
      <c r="C44" s="3">
        <v>2</v>
      </c>
      <c r="D44" s="3" t="s">
        <v>760</v>
      </c>
      <c r="E44" s="3" t="s">
        <v>759</v>
      </c>
      <c r="F44" s="3" t="s">
        <v>1005</v>
      </c>
      <c r="G44" s="3" t="s">
        <v>1075</v>
      </c>
    </row>
    <row r="45" spans="1:7" s="4" customFormat="1" ht="26" x14ac:dyDescent="0.3">
      <c r="A45" s="3">
        <v>3</v>
      </c>
      <c r="B45" s="3" t="s">
        <v>761</v>
      </c>
      <c r="C45" s="3">
        <v>2</v>
      </c>
      <c r="D45" s="3" t="s">
        <v>760</v>
      </c>
      <c r="E45" s="3" t="s">
        <v>759</v>
      </c>
      <c r="F45" s="3" t="s">
        <v>1005</v>
      </c>
      <c r="G45" s="3" t="s">
        <v>1075</v>
      </c>
    </row>
    <row r="46" spans="1:7" s="4" customFormat="1" ht="26" x14ac:dyDescent="0.3">
      <c r="A46" s="3">
        <v>3</v>
      </c>
      <c r="B46" s="3" t="s">
        <v>761</v>
      </c>
      <c r="C46" s="3">
        <v>2</v>
      </c>
      <c r="D46" s="3" t="s">
        <v>760</v>
      </c>
      <c r="E46" s="3" t="s">
        <v>764</v>
      </c>
      <c r="F46" s="3" t="s">
        <v>763</v>
      </c>
      <c r="G46" s="3" t="s">
        <v>1075</v>
      </c>
    </row>
    <row r="47" spans="1:7" s="4" customFormat="1" ht="26" x14ac:dyDescent="0.3">
      <c r="A47" s="3">
        <v>3</v>
      </c>
      <c r="B47" s="3" t="s">
        <v>761</v>
      </c>
      <c r="C47" s="3">
        <v>2</v>
      </c>
      <c r="D47" s="3" t="s">
        <v>760</v>
      </c>
      <c r="E47" s="3" t="s">
        <v>764</v>
      </c>
      <c r="F47" s="3" t="s">
        <v>763</v>
      </c>
      <c r="G47" s="3" t="s">
        <v>1075</v>
      </c>
    </row>
    <row r="48" spans="1:7" s="3" customFormat="1" ht="26" x14ac:dyDescent="0.3">
      <c r="A48" s="12">
        <v>3</v>
      </c>
      <c r="B48" s="12" t="s">
        <v>761</v>
      </c>
      <c r="C48" s="12">
        <v>1</v>
      </c>
      <c r="D48" s="12" t="s">
        <v>760</v>
      </c>
      <c r="E48" s="12" t="s">
        <v>1006</v>
      </c>
      <c r="F48" s="12" t="s">
        <v>1007</v>
      </c>
      <c r="G48" s="12" t="s">
        <v>1075</v>
      </c>
    </row>
  </sheetData>
  <autoFilter ref="A1:G8" xr:uid="{00000000-0009-0000-0000-000008000000}"/>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L38"/>
  <sheetViews>
    <sheetView workbookViewId="0">
      <pane ySplit="1" topLeftCell="A2" activePane="bottomLeft" state="frozen"/>
      <selection pane="bottomLeft"/>
    </sheetView>
  </sheetViews>
  <sheetFormatPr defaultColWidth="9.08984375" defaultRowHeight="12" x14ac:dyDescent="0.3"/>
  <cols>
    <col min="1" max="1" width="9.08984375" style="8"/>
    <col min="2" max="2" width="44.90625" style="8" bestFit="1" customWidth="1"/>
    <col min="3" max="3" width="13.90625" style="8" bestFit="1" customWidth="1"/>
    <col min="4" max="4" width="18.54296875" style="8" bestFit="1" customWidth="1"/>
    <col min="5" max="8" width="19.90625" style="8" customWidth="1"/>
    <col min="9" max="11" width="9.08984375" style="8"/>
    <col min="12" max="12" width="83.54296875" style="8" customWidth="1"/>
    <col min="13" max="16384" width="9.08984375" style="8"/>
  </cols>
  <sheetData>
    <row r="1" spans="1:12" s="10" customFormat="1" x14ac:dyDescent="0.3">
      <c r="B1" s="10" t="s">
        <v>1040</v>
      </c>
      <c r="C1" s="10" t="s">
        <v>1060</v>
      </c>
      <c r="D1" s="10" t="s">
        <v>1059</v>
      </c>
      <c r="E1" s="10" t="s">
        <v>1058</v>
      </c>
      <c r="F1" s="10" t="s">
        <v>1057</v>
      </c>
      <c r="G1" s="10" t="s">
        <v>1056</v>
      </c>
      <c r="H1" s="10" t="s">
        <v>1055</v>
      </c>
      <c r="L1" s="9"/>
    </row>
    <row r="2" spans="1:12" ht="48" x14ac:dyDescent="0.3">
      <c r="A2" s="8" t="s">
        <v>12</v>
      </c>
      <c r="B2" s="8" t="s">
        <v>1048</v>
      </c>
      <c r="C2" s="16" t="s">
        <v>1014</v>
      </c>
      <c r="D2" s="8" t="s">
        <v>249</v>
      </c>
      <c r="E2" s="8" t="s">
        <v>1388</v>
      </c>
      <c r="F2" s="8" t="s">
        <v>1081</v>
      </c>
      <c r="G2" s="8" t="s">
        <v>1047</v>
      </c>
      <c r="H2" s="8" t="s">
        <v>1043</v>
      </c>
      <c r="I2" s="8" t="s">
        <v>1385</v>
      </c>
    </row>
    <row r="3" spans="1:12" ht="36" x14ac:dyDescent="0.3">
      <c r="A3" s="8" t="s">
        <v>12</v>
      </c>
      <c r="B3" s="8" t="s">
        <v>1130</v>
      </c>
      <c r="C3" s="14" t="s">
        <v>1026</v>
      </c>
      <c r="D3" s="8" t="s">
        <v>251</v>
      </c>
      <c r="E3" s="8" t="s">
        <v>1131</v>
      </c>
      <c r="F3" s="8" t="s">
        <v>1382</v>
      </c>
      <c r="G3" s="8" t="s">
        <v>1083</v>
      </c>
      <c r="H3" s="8" t="s">
        <v>1393</v>
      </c>
    </row>
    <row r="4" spans="1:12" ht="48" x14ac:dyDescent="0.3">
      <c r="A4" s="8" t="s">
        <v>12</v>
      </c>
      <c r="B4" s="8" t="s">
        <v>1054</v>
      </c>
      <c r="C4" s="15" t="s">
        <v>1030</v>
      </c>
      <c r="D4" s="8" t="s">
        <v>849</v>
      </c>
      <c r="E4" s="8" t="s">
        <v>1383</v>
      </c>
      <c r="F4" s="8" t="s">
        <v>1097</v>
      </c>
      <c r="G4" s="8" t="s">
        <v>1033</v>
      </c>
      <c r="H4" s="8" t="s">
        <v>1098</v>
      </c>
    </row>
    <row r="5" spans="1:12" ht="48" x14ac:dyDescent="0.3">
      <c r="A5" s="8" t="s">
        <v>12</v>
      </c>
      <c r="B5" s="8" t="s">
        <v>1054</v>
      </c>
      <c r="C5" s="15" t="s">
        <v>1030</v>
      </c>
      <c r="D5" s="8" t="s">
        <v>167</v>
      </c>
      <c r="E5" s="8" t="s">
        <v>1383</v>
      </c>
      <c r="F5" s="8" t="s">
        <v>1097</v>
      </c>
      <c r="G5" s="8" t="s">
        <v>1033</v>
      </c>
      <c r="H5" s="8" t="s">
        <v>1098</v>
      </c>
    </row>
    <row r="6" spans="1:12" ht="36" x14ac:dyDescent="0.3">
      <c r="A6" s="8" t="s">
        <v>12</v>
      </c>
      <c r="B6" s="8" t="s">
        <v>1092</v>
      </c>
      <c r="C6" s="14" t="s">
        <v>1026</v>
      </c>
      <c r="D6" s="8" t="s">
        <v>180</v>
      </c>
      <c r="E6" s="8" t="s">
        <v>1384</v>
      </c>
      <c r="F6" s="8" t="s">
        <v>1078</v>
      </c>
      <c r="G6" s="8" t="s">
        <v>1042</v>
      </c>
      <c r="H6" s="8" t="s">
        <v>1093</v>
      </c>
    </row>
    <row r="7" spans="1:12" ht="48" x14ac:dyDescent="0.3">
      <c r="A7" s="8" t="s">
        <v>12</v>
      </c>
      <c r="B7" s="8" t="s">
        <v>1046</v>
      </c>
      <c r="C7" s="14" t="s">
        <v>1026</v>
      </c>
      <c r="D7" s="8" t="s">
        <v>833</v>
      </c>
      <c r="E7" s="8" t="s">
        <v>1395</v>
      </c>
      <c r="F7" s="8" t="s">
        <v>1045</v>
      </c>
      <c r="G7" s="8" t="s">
        <v>1033</v>
      </c>
      <c r="H7" s="8" t="s">
        <v>1394</v>
      </c>
    </row>
    <row r="8" spans="1:12" ht="48" x14ac:dyDescent="0.3">
      <c r="A8" s="8" t="s">
        <v>12</v>
      </c>
      <c r="B8" s="8" t="s">
        <v>1044</v>
      </c>
      <c r="C8" s="15" t="s">
        <v>1030</v>
      </c>
      <c r="D8" s="8" t="s">
        <v>252</v>
      </c>
      <c r="E8" s="8" t="s">
        <v>1391</v>
      </c>
      <c r="F8" s="8" t="s">
        <v>1043</v>
      </c>
      <c r="G8" s="8" t="s">
        <v>1042</v>
      </c>
      <c r="H8" s="8" t="s">
        <v>1041</v>
      </c>
      <c r="I8" s="8" t="s">
        <v>1386</v>
      </c>
    </row>
    <row r="9" spans="1:12" ht="36" x14ac:dyDescent="0.3">
      <c r="A9" s="8" t="s">
        <v>12</v>
      </c>
      <c r="B9" s="8" t="s">
        <v>1038</v>
      </c>
      <c r="C9" s="15" t="s">
        <v>1030</v>
      </c>
      <c r="D9" s="8" t="s">
        <v>873</v>
      </c>
      <c r="E9" s="8" t="s">
        <v>1037</v>
      </c>
      <c r="F9" s="8" t="s">
        <v>1036</v>
      </c>
      <c r="G9" s="8" t="s">
        <v>1033</v>
      </c>
      <c r="H9" s="8" t="s">
        <v>1082</v>
      </c>
      <c r="L9" s="9"/>
    </row>
    <row r="10" spans="1:12" ht="36" x14ac:dyDescent="0.3">
      <c r="A10" s="8" t="s">
        <v>12</v>
      </c>
      <c r="B10" s="8" t="s">
        <v>1038</v>
      </c>
      <c r="C10" s="15" t="s">
        <v>1030</v>
      </c>
      <c r="D10" s="8" t="s">
        <v>177</v>
      </c>
      <c r="E10" s="8" t="s">
        <v>1037</v>
      </c>
      <c r="F10" s="8" t="s">
        <v>1036</v>
      </c>
      <c r="G10" s="8" t="s">
        <v>1033</v>
      </c>
      <c r="H10" s="8" t="s">
        <v>1082</v>
      </c>
      <c r="L10" s="9"/>
    </row>
    <row r="11" spans="1:12" ht="24" x14ac:dyDescent="0.3">
      <c r="A11" s="8" t="s">
        <v>12</v>
      </c>
      <c r="B11" s="8" t="s">
        <v>1053</v>
      </c>
      <c r="C11" s="16" t="s">
        <v>1014</v>
      </c>
      <c r="D11" s="8" t="s">
        <v>170</v>
      </c>
      <c r="E11" s="8" t="s">
        <v>1080</v>
      </c>
      <c r="F11" s="8" t="s">
        <v>1052</v>
      </c>
      <c r="G11" s="8" t="s">
        <v>1043</v>
      </c>
      <c r="H11" s="8" t="s">
        <v>1417</v>
      </c>
    </row>
    <row r="12" spans="1:12" ht="24" x14ac:dyDescent="0.3">
      <c r="A12" s="8" t="s">
        <v>12</v>
      </c>
      <c r="B12" s="8" t="s">
        <v>1053</v>
      </c>
      <c r="C12" s="14" t="s">
        <v>1026</v>
      </c>
      <c r="D12" s="8" t="s">
        <v>170</v>
      </c>
      <c r="E12" s="8" t="s">
        <v>1080</v>
      </c>
      <c r="F12" s="8" t="s">
        <v>1052</v>
      </c>
      <c r="G12" s="8" t="s">
        <v>1043</v>
      </c>
      <c r="H12" s="8" t="s">
        <v>1417</v>
      </c>
    </row>
    <row r="13" spans="1:12" ht="36" x14ac:dyDescent="0.3">
      <c r="A13" s="8" t="s">
        <v>12</v>
      </c>
      <c r="B13" s="8" t="s">
        <v>1051</v>
      </c>
      <c r="C13" s="16" t="s">
        <v>1014</v>
      </c>
      <c r="D13" s="8" t="s">
        <v>166</v>
      </c>
      <c r="E13" s="8" t="s">
        <v>1050</v>
      </c>
      <c r="F13" s="8" t="s">
        <v>1049</v>
      </c>
      <c r="G13" s="8" t="s">
        <v>1078</v>
      </c>
      <c r="H13" s="8" t="s">
        <v>1079</v>
      </c>
      <c r="L13" s="9"/>
    </row>
    <row r="14" spans="1:12" ht="24" x14ac:dyDescent="0.3">
      <c r="B14" s="8" t="s">
        <v>1025</v>
      </c>
      <c r="C14" s="8" t="s">
        <v>44</v>
      </c>
      <c r="E14" s="8" t="s">
        <v>1024</v>
      </c>
      <c r="L14" s="9"/>
    </row>
    <row r="15" spans="1:12" ht="24" x14ac:dyDescent="0.3">
      <c r="B15" s="8" t="s">
        <v>1023</v>
      </c>
      <c r="E15" s="8" t="s">
        <v>1389</v>
      </c>
      <c r="F15" s="8" t="s">
        <v>1088</v>
      </c>
      <c r="G15" s="13" t="s">
        <v>1043</v>
      </c>
      <c r="H15" s="8" t="s">
        <v>1032</v>
      </c>
      <c r="L15" s="9"/>
    </row>
    <row r="16" spans="1:12" ht="24" x14ac:dyDescent="0.3">
      <c r="B16" s="8" t="s">
        <v>1022</v>
      </c>
      <c r="C16" s="8" t="s">
        <v>67</v>
      </c>
      <c r="E16" s="8" t="s">
        <v>1021</v>
      </c>
    </row>
    <row r="17" spans="1:12" ht="24" x14ac:dyDescent="0.3">
      <c r="B17" s="8" t="s">
        <v>1020</v>
      </c>
      <c r="C17" s="15" t="s">
        <v>203</v>
      </c>
      <c r="D17" s="8" t="s">
        <v>831</v>
      </c>
      <c r="E17" s="8" t="s">
        <v>1390</v>
      </c>
      <c r="F17" s="8" t="s">
        <v>1095</v>
      </c>
      <c r="G17" s="8" t="s">
        <v>1033</v>
      </c>
      <c r="H17" s="8" t="s">
        <v>1096</v>
      </c>
    </row>
    <row r="18" spans="1:12" ht="24" x14ac:dyDescent="0.3">
      <c r="B18" s="8" t="s">
        <v>1020</v>
      </c>
      <c r="C18" s="15" t="s">
        <v>1099</v>
      </c>
      <c r="D18" s="8" t="s">
        <v>831</v>
      </c>
      <c r="E18" s="8" t="s">
        <v>1390</v>
      </c>
      <c r="F18" s="8" t="s">
        <v>1095</v>
      </c>
      <c r="G18" s="8" t="s">
        <v>1033</v>
      </c>
      <c r="H18" s="8" t="s">
        <v>1096</v>
      </c>
    </row>
    <row r="19" spans="1:12" x14ac:dyDescent="0.3">
      <c r="B19" s="8" t="s">
        <v>1100</v>
      </c>
      <c r="L19" s="9"/>
    </row>
    <row r="20" spans="1:12" x14ac:dyDescent="0.3">
      <c r="B20" s="8" t="s">
        <v>1100</v>
      </c>
      <c r="L20" s="9"/>
    </row>
    <row r="21" spans="1:12" x14ac:dyDescent="0.3">
      <c r="B21" s="8" t="s">
        <v>1132</v>
      </c>
      <c r="C21" s="8" t="s">
        <v>1014</v>
      </c>
      <c r="D21" s="8" t="s">
        <v>1133</v>
      </c>
      <c r="G21" s="8" t="s">
        <v>1043</v>
      </c>
      <c r="L21" s="9"/>
    </row>
    <row r="22" spans="1:12" x14ac:dyDescent="0.3">
      <c r="B22" s="8" t="s">
        <v>1132</v>
      </c>
      <c r="C22" s="8" t="s">
        <v>1026</v>
      </c>
      <c r="D22" s="8" t="s">
        <v>1134</v>
      </c>
      <c r="G22" s="8" t="s">
        <v>1043</v>
      </c>
      <c r="L22" s="9"/>
    </row>
    <row r="23" spans="1:12" ht="36" x14ac:dyDescent="0.3">
      <c r="B23" s="8" t="s">
        <v>1019</v>
      </c>
      <c r="C23" s="8" t="s">
        <v>1030</v>
      </c>
      <c r="D23" s="8" t="s">
        <v>841</v>
      </c>
      <c r="E23" s="8" t="s">
        <v>1405</v>
      </c>
      <c r="F23" s="8" t="s">
        <v>1406</v>
      </c>
      <c r="G23" s="8" t="s">
        <v>1407</v>
      </c>
      <c r="H23" s="8" t="s">
        <v>1408</v>
      </c>
    </row>
    <row r="24" spans="1:12" ht="36" x14ac:dyDescent="0.3">
      <c r="B24" s="8" t="s">
        <v>1019</v>
      </c>
      <c r="C24" s="8" t="s">
        <v>1014</v>
      </c>
      <c r="D24" s="8" t="s">
        <v>207</v>
      </c>
      <c r="E24" s="8" t="s">
        <v>1405</v>
      </c>
      <c r="F24" s="8" t="s">
        <v>1406</v>
      </c>
      <c r="G24" s="8" t="s">
        <v>1407</v>
      </c>
      <c r="H24" s="8" t="s">
        <v>1408</v>
      </c>
    </row>
    <row r="25" spans="1:12" ht="36" x14ac:dyDescent="0.3">
      <c r="B25" s="8" t="s">
        <v>1018</v>
      </c>
      <c r="C25" s="8" t="s">
        <v>1030</v>
      </c>
      <c r="D25" s="8" t="s">
        <v>841</v>
      </c>
      <c r="E25" s="8" t="s">
        <v>1409</v>
      </c>
      <c r="F25" s="8" t="s">
        <v>1406</v>
      </c>
    </row>
    <row r="26" spans="1:12" ht="36" x14ac:dyDescent="0.3">
      <c r="B26" s="8" t="s">
        <v>1018</v>
      </c>
      <c r="C26" s="8" t="s">
        <v>1014</v>
      </c>
      <c r="D26" s="8" t="s">
        <v>207</v>
      </c>
      <c r="E26" s="8" t="s">
        <v>1409</v>
      </c>
      <c r="F26" s="8" t="s">
        <v>1406</v>
      </c>
      <c r="L26" s="9"/>
    </row>
    <row r="27" spans="1:12" ht="48" x14ac:dyDescent="0.3">
      <c r="B27" s="8" t="s">
        <v>1089</v>
      </c>
      <c r="C27" s="8" t="s">
        <v>1026</v>
      </c>
      <c r="E27" s="8" t="s">
        <v>1090</v>
      </c>
      <c r="F27" s="8" t="s">
        <v>1091</v>
      </c>
      <c r="G27" s="8" t="s">
        <v>1033</v>
      </c>
      <c r="H27" s="8" t="s">
        <v>1032</v>
      </c>
    </row>
    <row r="28" spans="1:12" ht="48" x14ac:dyDescent="0.3">
      <c r="A28" s="8" t="s">
        <v>1410</v>
      </c>
      <c r="B28" s="8" t="s">
        <v>1376</v>
      </c>
      <c r="C28" s="8" t="s">
        <v>1026</v>
      </c>
      <c r="D28" s="8" t="s">
        <v>1377</v>
      </c>
      <c r="E28" s="8" t="s">
        <v>1392</v>
      </c>
      <c r="F28" s="8" t="s">
        <v>1411</v>
      </c>
      <c r="G28" s="8" t="s">
        <v>1043</v>
      </c>
      <c r="H28" s="8" t="s">
        <v>1412</v>
      </c>
    </row>
    <row r="29" spans="1:12" ht="48" x14ac:dyDescent="0.3">
      <c r="A29" s="8" t="s">
        <v>1410</v>
      </c>
      <c r="B29" s="8" t="s">
        <v>1378</v>
      </c>
      <c r="C29" s="8" t="s">
        <v>1030</v>
      </c>
      <c r="D29" s="8" t="s">
        <v>1377</v>
      </c>
      <c r="E29" s="8" t="s">
        <v>1387</v>
      </c>
      <c r="F29" s="8" t="s">
        <v>1413</v>
      </c>
      <c r="G29" s="8" t="s">
        <v>1033</v>
      </c>
      <c r="H29" s="8" t="s">
        <v>1414</v>
      </c>
    </row>
    <row r="30" spans="1:12" x14ac:dyDescent="0.3">
      <c r="B30" s="8" t="s">
        <v>1379</v>
      </c>
      <c r="D30" s="8" t="s">
        <v>167</v>
      </c>
    </row>
    <row r="31" spans="1:12" x14ac:dyDescent="0.3">
      <c r="B31" s="8" t="s">
        <v>1379</v>
      </c>
      <c r="D31" s="8" t="s">
        <v>1380</v>
      </c>
    </row>
    <row r="32" spans="1:12" ht="48" x14ac:dyDescent="0.3">
      <c r="B32" s="8" t="s">
        <v>1086</v>
      </c>
      <c r="C32" s="8" t="s">
        <v>1085</v>
      </c>
      <c r="D32" s="8" t="s">
        <v>6</v>
      </c>
      <c r="E32" s="8" t="s">
        <v>1084</v>
      </c>
      <c r="F32" s="8" t="s">
        <v>1087</v>
      </c>
    </row>
    <row r="33" spans="2:8" ht="24" x14ac:dyDescent="0.3">
      <c r="B33" s="8" t="s">
        <v>1035</v>
      </c>
      <c r="C33" s="8" t="s">
        <v>1030</v>
      </c>
      <c r="D33" s="8" t="s">
        <v>169</v>
      </c>
      <c r="E33" s="8" t="s">
        <v>1034</v>
      </c>
      <c r="F33" s="8" t="s">
        <v>1032</v>
      </c>
      <c r="G33" s="8" t="s">
        <v>1033</v>
      </c>
      <c r="H33" s="8" t="s">
        <v>1032</v>
      </c>
    </row>
    <row r="34" spans="2:8" ht="24" x14ac:dyDescent="0.3">
      <c r="B34" s="8" t="s">
        <v>1035</v>
      </c>
      <c r="C34" s="8" t="s">
        <v>1030</v>
      </c>
      <c r="D34" s="8" t="s">
        <v>169</v>
      </c>
      <c r="E34" s="8" t="s">
        <v>1034</v>
      </c>
      <c r="F34" s="8" t="s">
        <v>1032</v>
      </c>
      <c r="G34" s="8" t="s">
        <v>1033</v>
      </c>
      <c r="H34" s="8" t="s">
        <v>1032</v>
      </c>
    </row>
    <row r="35" spans="2:8" ht="36" x14ac:dyDescent="0.3">
      <c r="B35" s="8" t="s">
        <v>1017</v>
      </c>
      <c r="C35" s="8" t="s">
        <v>1030</v>
      </c>
      <c r="D35" s="8" t="s">
        <v>1094</v>
      </c>
      <c r="E35" s="8" t="s">
        <v>1016</v>
      </c>
    </row>
    <row r="36" spans="2:8" ht="48" x14ac:dyDescent="0.3">
      <c r="B36" s="8" t="s">
        <v>1077</v>
      </c>
      <c r="C36" s="8" t="s">
        <v>1030</v>
      </c>
      <c r="D36" s="8" t="s">
        <v>156</v>
      </c>
      <c r="E36" s="8" t="s">
        <v>1039</v>
      </c>
      <c r="F36" s="8" t="s">
        <v>751</v>
      </c>
      <c r="G36" s="8" t="s">
        <v>751</v>
      </c>
      <c r="H36" s="8" t="s">
        <v>751</v>
      </c>
    </row>
    <row r="37" spans="2:8" ht="48" x14ac:dyDescent="0.3">
      <c r="B37" s="8" t="s">
        <v>1031</v>
      </c>
      <c r="C37" s="14" t="s">
        <v>1026</v>
      </c>
      <c r="D37" s="8" t="s">
        <v>1030</v>
      </c>
      <c r="E37" s="8" t="s">
        <v>1029</v>
      </c>
      <c r="F37" s="8" t="s">
        <v>1028</v>
      </c>
      <c r="G37" s="8" t="s">
        <v>1083</v>
      </c>
      <c r="H37" s="8" t="s">
        <v>1027</v>
      </c>
    </row>
    <row r="38" spans="2:8" x14ac:dyDescent="0.3">
      <c r="B38" s="8" t="s">
        <v>1015</v>
      </c>
      <c r="C38" s="8" t="s">
        <v>1014</v>
      </c>
    </row>
  </sheetData>
  <autoFilter ref="A1:L38" xr:uid="{00000000-0009-0000-0000-000009000000}"/>
  <sortState xmlns:xlrd2="http://schemas.microsoft.com/office/spreadsheetml/2017/richdata2" ref="A2:L38">
    <sortCondition ref="A2:A38"/>
    <sortCondition ref="B2:B38"/>
  </sortState>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B34"/>
  <sheetViews>
    <sheetView workbookViewId="0"/>
  </sheetViews>
  <sheetFormatPr defaultRowHeight="14.5" x14ac:dyDescent="0.35"/>
  <cols>
    <col min="1" max="1" width="28" bestFit="1" customWidth="1"/>
    <col min="2" max="2" width="120" customWidth="1"/>
  </cols>
  <sheetData>
    <row r="1" spans="1:2" x14ac:dyDescent="0.35">
      <c r="A1" t="s">
        <v>1101</v>
      </c>
    </row>
    <row r="2" spans="1:2" x14ac:dyDescent="0.35">
      <c r="A2" t="s">
        <v>1101</v>
      </c>
    </row>
    <row r="3" spans="1:2" x14ac:dyDescent="0.35">
      <c r="A3" t="s">
        <v>1101</v>
      </c>
    </row>
    <row r="4" spans="1:2" x14ac:dyDescent="0.35">
      <c r="A4" t="s">
        <v>1102</v>
      </c>
    </row>
    <row r="5" spans="1:2" x14ac:dyDescent="0.35">
      <c r="A5" t="s">
        <v>1102</v>
      </c>
    </row>
    <row r="6" spans="1:2" x14ac:dyDescent="0.35">
      <c r="A6" t="s">
        <v>1102</v>
      </c>
    </row>
    <row r="7" spans="1:2" x14ac:dyDescent="0.35">
      <c r="A7" t="s">
        <v>1103</v>
      </c>
    </row>
    <row r="8" spans="1:2" x14ac:dyDescent="0.35">
      <c r="A8" t="s">
        <v>1103</v>
      </c>
    </row>
    <row r="9" spans="1:2" x14ac:dyDescent="0.35">
      <c r="A9" t="s">
        <v>1103</v>
      </c>
    </row>
    <row r="10" spans="1:2" x14ac:dyDescent="0.35">
      <c r="A10" t="s">
        <v>1104</v>
      </c>
    </row>
    <row r="11" spans="1:2" x14ac:dyDescent="0.35">
      <c r="A11" t="s">
        <v>1104</v>
      </c>
    </row>
    <row r="12" spans="1:2" x14ac:dyDescent="0.35">
      <c r="A12" t="s">
        <v>1104</v>
      </c>
    </row>
    <row r="13" spans="1:2" x14ac:dyDescent="0.35">
      <c r="A13" t="s">
        <v>1105</v>
      </c>
      <c r="B13" t="s">
        <v>1106</v>
      </c>
    </row>
    <row r="14" spans="1:2" x14ac:dyDescent="0.35">
      <c r="A14" t="s">
        <v>1107</v>
      </c>
      <c r="B14" t="s">
        <v>1108</v>
      </c>
    </row>
    <row r="15" spans="1:2" x14ac:dyDescent="0.35">
      <c r="A15" t="s">
        <v>1107</v>
      </c>
      <c r="B15" t="s">
        <v>1108</v>
      </c>
    </row>
    <row r="16" spans="1:2" x14ac:dyDescent="0.35">
      <c r="A16" t="s">
        <v>1109</v>
      </c>
      <c r="B16" t="s">
        <v>1110</v>
      </c>
    </row>
    <row r="17" spans="1:2" x14ac:dyDescent="0.35">
      <c r="A17" t="s">
        <v>1109</v>
      </c>
      <c r="B17" t="s">
        <v>1110</v>
      </c>
    </row>
    <row r="18" spans="1:2" x14ac:dyDescent="0.35">
      <c r="A18" t="s">
        <v>1111</v>
      </c>
      <c r="B18" t="s">
        <v>1112</v>
      </c>
    </row>
    <row r="19" spans="1:2" x14ac:dyDescent="0.35">
      <c r="A19" t="s">
        <v>1111</v>
      </c>
      <c r="B19" t="s">
        <v>1112</v>
      </c>
    </row>
    <row r="20" spans="1:2" x14ac:dyDescent="0.35">
      <c r="A20" t="s">
        <v>1111</v>
      </c>
      <c r="B20" t="s">
        <v>1112</v>
      </c>
    </row>
    <row r="21" spans="1:2" x14ac:dyDescent="0.35">
      <c r="A21" t="s">
        <v>1113</v>
      </c>
      <c r="B21" t="s">
        <v>1114</v>
      </c>
    </row>
    <row r="22" spans="1:2" x14ac:dyDescent="0.35">
      <c r="A22" t="s">
        <v>1113</v>
      </c>
      <c r="B22" t="s">
        <v>1114</v>
      </c>
    </row>
    <row r="23" spans="1:2" x14ac:dyDescent="0.35">
      <c r="A23" t="s">
        <v>1113</v>
      </c>
      <c r="B23" t="s">
        <v>1114</v>
      </c>
    </row>
    <row r="24" spans="1:2" x14ac:dyDescent="0.35">
      <c r="A24" t="s">
        <v>1127</v>
      </c>
      <c r="B24" t="s">
        <v>1126</v>
      </c>
    </row>
    <row r="25" spans="1:2" x14ac:dyDescent="0.35">
      <c r="A25" t="s">
        <v>1127</v>
      </c>
      <c r="B25" t="s">
        <v>1126</v>
      </c>
    </row>
    <row r="26" spans="1:2" x14ac:dyDescent="0.35">
      <c r="A26" t="s">
        <v>1127</v>
      </c>
      <c r="B26" t="s">
        <v>1126</v>
      </c>
    </row>
    <row r="27" spans="1:2" x14ac:dyDescent="0.35">
      <c r="A27" t="s">
        <v>1115</v>
      </c>
      <c r="B27" t="s">
        <v>1116</v>
      </c>
    </row>
    <row r="28" spans="1:2" x14ac:dyDescent="0.35">
      <c r="A28" t="s">
        <v>1115</v>
      </c>
      <c r="B28" t="s">
        <v>1116</v>
      </c>
    </row>
    <row r="29" spans="1:2" ht="58" x14ac:dyDescent="0.35">
      <c r="A29" t="s">
        <v>1118</v>
      </c>
      <c r="B29" s="17" t="s">
        <v>1117</v>
      </c>
    </row>
    <row r="30" spans="1:2" ht="47" x14ac:dyDescent="0.35">
      <c r="A30" t="s">
        <v>1119</v>
      </c>
      <c r="B30" s="9" t="s">
        <v>1120</v>
      </c>
    </row>
    <row r="31" spans="1:2" ht="47" x14ac:dyDescent="0.35">
      <c r="A31" t="s">
        <v>1121</v>
      </c>
      <c r="B31" s="9" t="s">
        <v>1122</v>
      </c>
    </row>
    <row r="32" spans="1:2" ht="35.5" x14ac:dyDescent="0.35">
      <c r="A32" t="s">
        <v>1124</v>
      </c>
      <c r="B32" s="9" t="s">
        <v>1123</v>
      </c>
    </row>
    <row r="33" spans="1:2" x14ac:dyDescent="0.35">
      <c r="A33" t="s">
        <v>1125</v>
      </c>
      <c r="B33" s="18"/>
    </row>
    <row r="34" spans="1:2" x14ac:dyDescent="0.35">
      <c r="A34" t="s">
        <v>1128</v>
      </c>
      <c r="B34" s="9" t="s">
        <v>1129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10f9ac0-5937-4b4f-b459-96aedd9ed2c5">
  <element uid="9920fcc9-9f43-4d43-9e3e-b98a219cfd55" value=""/>
</sisl>
</file>

<file path=customXml/itemProps1.xml><?xml version="1.0" encoding="utf-8"?>
<ds:datastoreItem xmlns:ds="http://schemas.openxmlformats.org/officeDocument/2006/customXml" ds:itemID="{A514EB5A-F72E-4351-96BD-4DB8C496AC0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Supplies</vt:lpstr>
      <vt:lpstr>Supplies (2)</vt:lpstr>
      <vt:lpstr>Jobs</vt:lpstr>
      <vt:lpstr>Ships</vt:lpstr>
      <vt:lpstr>Misbehaves</vt:lpstr>
      <vt:lpstr>Nav Cards</vt:lpstr>
      <vt:lpstr>Alerts</vt:lpstr>
      <vt:lpstr>Local Color</vt:lpstr>
      <vt:lpstr>Local Color 2.0</vt:lpstr>
      <vt:lpstr>Complications</vt:lpstr>
      <vt:lpstr>Travelers</vt:lpstr>
      <vt:lpstr>Backgrounds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dc:creator>
  <cp:lastModifiedBy>George W. Krubski</cp:lastModifiedBy>
  <cp:lastPrinted>2023-10-06T17:58:48Z</cp:lastPrinted>
  <dcterms:created xsi:type="dcterms:W3CDTF">2013-10-28T14:52:34Z</dcterms:created>
  <dcterms:modified xsi:type="dcterms:W3CDTF">2024-02-29T20:25:15Z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568935106</vt:i4>
  </property>
  <property fmtid="{D5CDD505-2E9C-101B-9397-08002B2CF9AE}" pid="3" name="_NewReviewCycle">
    <vt:lpwstr/>
  </property>
  <property fmtid="{D5CDD505-2E9C-101B-9397-08002B2CF9AE}" pid="4" name="_EmailSubject">
    <vt:lpwstr/>
  </property>
  <property fmtid="{D5CDD505-2E9C-101B-9397-08002B2CF9AE}" pid="5" name="_AuthorEmail">
    <vt:lpwstr>george.krubski@merck.com</vt:lpwstr>
  </property>
  <property fmtid="{D5CDD505-2E9C-101B-9397-08002B2CF9AE}" pid="6" name="_AuthorEmailDisplayName">
    <vt:lpwstr>Krubski, George</vt:lpwstr>
  </property>
  <property fmtid="{D5CDD505-2E9C-101B-9397-08002B2CF9AE}" pid="7" name="_PreviousAdHocReviewCycleID">
    <vt:i4>640987906</vt:i4>
  </property>
  <property fmtid="{D5CDD505-2E9C-101B-9397-08002B2CF9AE}" pid="8" name="docIndexRef">
    <vt:lpwstr>69c009eb-71c8-4e67-9918-02db5fda5728</vt:lpwstr>
  </property>
  <property fmtid="{D5CDD505-2E9C-101B-9397-08002B2CF9AE}" pid="9" name="bjSaver">
    <vt:lpwstr>p/O3ZXijV9BwMAZvtqLGdPnPB8M5EPlF</vt:lpwstr>
  </property>
  <property fmtid="{D5CDD505-2E9C-101B-9397-08002B2CF9AE}" pid="10" name="bjDocumentLabelXML">
    <vt:lpwstr>&lt;?xml version="1.0" encoding="us-ascii"?&gt;&lt;sisl xmlns:xsi="http://www.w3.org/2001/XMLSchema-instance" xmlns:xsd="http://www.w3.org/2001/XMLSchema" sislVersion="0" policy="a10f9ac0-5937-4b4f-b459-96aedd9ed2c5" xmlns="http://www.boldonjames.com/2008/01/sie/i</vt:lpwstr>
  </property>
  <property fmtid="{D5CDD505-2E9C-101B-9397-08002B2CF9AE}" pid="11" name="bjDocumentLabelXML-0">
    <vt:lpwstr>nternal/label"&gt;&lt;element uid="9920fcc9-9f43-4d43-9e3e-b98a219cfd55" value="" /&gt;&lt;/sisl&gt;</vt:lpwstr>
  </property>
  <property fmtid="{D5CDD505-2E9C-101B-9397-08002B2CF9AE}" pid="12" name="bjDocumentSecurityLabel">
    <vt:lpwstr>Not Classified</vt:lpwstr>
  </property>
  <property fmtid="{D5CDD505-2E9C-101B-9397-08002B2CF9AE}" pid="13" name="_ReviewingToolsShownOnce">
    <vt:lpwstr/>
  </property>
</Properties>
</file>